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Comisiones" sheetId="2" state="visible" r:id="rId4"/>
    <sheet name="Matriz Comparativa" sheetId="3" state="visible" r:id="rId5"/>
    <sheet name="Perfiles" sheetId="4" state="visible" r:id="rId6"/>
    <sheet name="Oportunidades" sheetId="5" state="visible" r:id="rId7"/>
    <sheet name="Modelo Negocio" sheetId="6" state="visible" r:id="rId8"/>
    <sheet name="Roadmap" sheetId="7" state="visible" r:id="rId9"/>
    <sheet name="Fuent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<sst xmlns="http://schemas.openxmlformats.org/spreadsheetml/2006/main" count="388" uniqueCount="344">
  <si>
    <t xml:space="preserve">INSIGNIA PASS · Benchmark de Boleteras en México</t>
  </si>
  <si>
    <t xml:space="preserve">Análisis comparativo del mercado mexicano · Mayo 2026</t>
  </si>
  <si>
    <t xml:space="preserve">Indicador clave del mercado</t>
  </si>
  <si>
    <t xml:space="preserve">Valor</t>
  </si>
  <si>
    <t xml:space="preserve">Fuente / Notas</t>
  </si>
  <si>
    <t xml:space="preserve">Tamaño mercado entretenimiento en vivo MX 2025</t>
  </si>
  <si>
    <t xml:space="preserve">$68,990 MDP</t>
  </si>
  <si>
    <t xml:space="preserve">Mundo Ejecutivo / industria reportada</t>
  </si>
  <si>
    <t xml:space="preserve">Posición global de MX</t>
  </si>
  <si>
    <t xml:space="preserve">3er mercado mundial</t>
  </si>
  <si>
    <t xml:space="preserve">Detrás de EE.UU. y Reino Unido</t>
  </si>
  <si>
    <t xml:space="preserve">Crecimiento 2025</t>
  </si>
  <si>
    <t xml:space="preserve">3.2% anual</t>
  </si>
  <si>
    <t xml:space="preserve">Más del doble que el PIB nacional</t>
  </si>
  <si>
    <t xml:space="preserve">Efecto multiplicador</t>
  </si>
  <si>
    <t xml:space="preserve">$334 por cada $100</t>
  </si>
  <si>
    <t xml:space="preserve">Derrama económica en sectores adyacentes</t>
  </si>
  <si>
    <t xml:space="preserve">Boletos digitales emitidos 2025</t>
  </si>
  <si>
    <t xml:space="preserve">80%</t>
  </si>
  <si>
    <t xml:space="preserve">Adopción tecnológica acelerada</t>
  </si>
  <si>
    <t xml:space="preserve">Música como % de boletos</t>
  </si>
  <si>
    <t xml:space="preserve">52%</t>
  </si>
  <si>
    <t xml:space="preserve">Deportes 28%, teatro/familia 20%</t>
  </si>
  <si>
    <t xml:space="preserve">Ciudades clave</t>
  </si>
  <si>
    <t xml:space="preserve">CDMX, MTY, GDL</t>
  </si>
  <si>
    <t xml:space="preserve">Capitales del entretenimiento en vivo</t>
  </si>
  <si>
    <t xml:space="preserve">Quejas Profeco 2022-2024</t>
  </si>
  <si>
    <t xml:space="preserve">5,652 quejas</t>
  </si>
  <si>
    <t xml:space="preserve">Mercado de venta de boletos</t>
  </si>
  <si>
    <t xml:space="preserve">Rango de comisiones del mercado</t>
  </si>
  <si>
    <t xml:space="preserve">10% – 28%</t>
  </si>
  <si>
    <t xml:space="preserve">Servicio al consumidor por plataforma</t>
  </si>
  <si>
    <t xml:space="preserve">Conclusiones clave para Insignia Pass</t>
  </si>
  <si>
    <t xml:space="preserve">1. El mercado está dominado por Ticketmaster/OCESA con un duopolio percibido como abusivo (24% de cargo por servicio).</t>
  </si>
  <si>
    <t xml:space="preserve">2. Boletia lidera el segmento independiente con la comisión más competitiva (12% + $5 MXN) y herramientas de autoservicio.</t>
  </si>
  <si>
    <t xml:space="preserve">3. Hay un fuerte vacío en transparencia: ni Ticketmaster ni Superboletos publican abiertamente sus comisiones.</t>
  </si>
  <si>
    <t xml:space="preserve">4. El 80% de boletos ya son digitales, validando la viabilidad de una plataforma 100% digital con códigos dinámicos.</t>
  </si>
  <si>
    <t xml:space="preserve">5. Las quejas de Profeco (5,652 en 2022-2024) abren la oportunidad de un diferenciador de confianza y reembolso ágil.</t>
  </si>
  <si>
    <t xml:space="preserve">6. La regulación legislativa está presionando topes a comisiones — quien llegue con modelo justo tiene ventaja temprana.</t>
  </si>
  <si>
    <t xml:space="preserve">7. Tecnología emergente (NFT, blockchain, código dinámico, NFC wallet) aún no se masifica en MX — ventana de innovación.</t>
  </si>
  <si>
    <t xml:space="preserve">8. Foco recomendado: promotores medianos e independientes que ya están migrando fuera del duopolio.</t>
  </si>
  <si>
    <t xml:space="preserve">Comisiones y modelo económico por plataforma</t>
  </si>
  <si>
    <t xml:space="preserve">Plataforma</t>
  </si>
  <si>
    <t xml:space="preserve">% al comprador (cargo servicio)</t>
  </si>
  <si>
    <t xml:space="preserve">Costo organizador</t>
  </si>
  <si>
    <t xml:space="preserve">Modelo de cobro</t>
  </si>
  <si>
    <t xml:space="preserve">Transparencia pública</t>
  </si>
  <si>
    <t xml:space="preserve">Notas</t>
  </si>
  <si>
    <t xml:space="preserve">Ticketmaster México</t>
  </si>
  <si>
    <t xml:space="preserve">24%</t>
  </si>
  <si>
    <t xml:space="preserve">Compartido con recintos/promotores</t>
  </si>
  <si>
    <t xml:space="preserve">Cargo al comprador</t>
  </si>
  <si>
    <t xml:space="preserve">Baja — no publica detalle</t>
  </si>
  <si>
    <t xml:space="preserve">Subió de 22% a 24% en 2025; SafeTix</t>
  </si>
  <si>
    <t xml:space="preserve">Superboletos</t>
  </si>
  <si>
    <t xml:space="preserve">Hasta 22%</t>
  </si>
  <si>
    <t xml:space="preserve">Negociado caso por caso</t>
  </si>
  <si>
    <t xml:space="preserve">Baja — no publica</t>
  </si>
  <si>
    <t xml:space="preserve">Fuerte en MTY; alianza con recintos</t>
  </si>
  <si>
    <t xml:space="preserve">eTicket</t>
  </si>
  <si>
    <t xml:space="preserve">~15%</t>
  </si>
  <si>
    <t xml:space="preserve">Negociado</t>
  </si>
  <si>
    <t xml:space="preserve">Media</t>
  </si>
  <si>
    <t xml:space="preserve">100% mexicana (Querétaro); aliada OCESA</t>
  </si>
  <si>
    <t xml:space="preserve">Funticket</t>
  </si>
  <si>
    <t xml:space="preserve">Variable por evento</t>
  </si>
  <si>
    <t xml:space="preserve">Variable</t>
  </si>
  <si>
    <t xml:space="preserve">Baja — varía por evento</t>
  </si>
  <si>
    <t xml:space="preserve">Validación criptográfica; monedero electrónico</t>
  </si>
  <si>
    <t xml:space="preserve">Boletia</t>
  </si>
  <si>
    <t xml:space="preserve">12% + $5 MXN</t>
  </si>
  <si>
    <t xml:space="preserve">Sin costo de alta</t>
  </si>
  <si>
    <t xml:space="preserve">Incluido o Separado</t>
  </si>
  <si>
    <t xml:space="preserve">Alta — publicada en KB</t>
  </si>
  <si>
    <t xml:space="preserve">Líder en transparencia y autoservicio</t>
  </si>
  <si>
    <t xml:space="preserve">Boletópolis / Ticketopolis</t>
  </si>
  <si>
    <t xml:space="preserve">La más baja del mercado (no especificada)</t>
  </si>
  <si>
    <t xml:space="preserve">Gratis para organizador</t>
  </si>
  <si>
    <t xml:space="preserve">Certificada SAT CDMX y GDL; acepta OXXO/PayPal/Bitcoin</t>
  </si>
  <si>
    <t xml:space="preserve">Eventbrite México</t>
  </si>
  <si>
    <t xml:space="preserve">Tarifa servicio + procesamiento (variable)</t>
  </si>
  <si>
    <t xml:space="preserve">Publicación gratis ilimitada; boletos gratis sin tarifa</t>
  </si>
  <si>
    <t xml:space="preserve">Pasar o absorber</t>
  </si>
  <si>
    <t xml:space="preserve">Alta — calculadora pública</t>
  </si>
  <si>
    <t xml:space="preserve">Best-in-class para eventos pequeños/medianos</t>
  </si>
  <si>
    <t xml:space="preserve">Passline</t>
  </si>
  <si>
    <t xml:space="preserve">Promotor recibe íntegro</t>
  </si>
  <si>
    <t xml:space="preserve">Argentina/LatAm; foco DIY</t>
  </si>
  <si>
    <t xml:space="preserve">INSIGNIA PASS (propuesta)</t>
  </si>
  <si>
    <t xml:space="preserve">8-10% objetivo</t>
  </si>
  <si>
    <t xml:space="preserve">0% alta + opcional pro plan</t>
  </si>
  <si>
    <t xml:space="preserve">Híbrido transparente</t>
  </si>
  <si>
    <t xml:space="preserve">Alta — diferenciador</t>
  </si>
  <si>
    <t xml:space="preserve">Modelo agresivo de captura</t>
  </si>
  <si>
    <t xml:space="preserve">Matriz comparativa por dimensión (escala 1-5)</t>
  </si>
  <si>
    <t xml:space="preserve">5 = clase mundial · 4 = sólido · 3 = aceptable · 2 = básico · 1 = ausente / débil</t>
  </si>
  <si>
    <t xml:space="preserve">Dimensión / Criterio</t>
  </si>
  <si>
    <t xml:space="preserve">Ticketmaster MX</t>
  </si>
  <si>
    <t xml:space="preserve">Boletópolis</t>
  </si>
  <si>
    <t xml:space="preserve">Eventbrite MX</t>
  </si>
  <si>
    <t xml:space="preserve">INSIGNIA PASS (target)</t>
  </si>
  <si>
    <t xml:space="preserve">Ponderación</t>
  </si>
  <si>
    <t xml:space="preserve">FUNCIONALIDADES Y FEATURES</t>
  </si>
  <si>
    <t xml:space="preserve">Creación de eventos (autoservicio)</t>
  </si>
  <si>
    <t xml:space="preserve">Asientos numerados / venue maps</t>
  </si>
  <si>
    <t xml:space="preserve">Control de acceso / escaneo en vivo</t>
  </si>
  <si>
    <t xml:space="preserve">App móvil para asistentes</t>
  </si>
  <si>
    <t xml:space="preserve">App móvil para staff/promotor</t>
  </si>
  <si>
    <t xml:space="preserve">Reportes y analytics en tiempo real</t>
  </si>
  <si>
    <t xml:space="preserve">Marketing integrado (email, retargeting)</t>
  </si>
  <si>
    <t xml:space="preserve">Multi-evento / temporadas / suscripciones</t>
  </si>
  <si>
    <t xml:space="preserve">Antifraude (códigos dinámicos, blockchain)</t>
  </si>
  <si>
    <t xml:space="preserve">Reventa controlada / marketplace oficial</t>
  </si>
  <si>
    <t xml:space="preserve">MODELO DE NEGOCIO Y COMISIONES</t>
  </si>
  <si>
    <t xml:space="preserve">Competitividad de comisiones</t>
  </si>
  <si>
    <t xml:space="preserve">Transparencia de tarifas</t>
  </si>
  <si>
    <t xml:space="preserve">Velocidad de liquidación al promotor</t>
  </si>
  <si>
    <t xml:space="preserve">Flexibilidad de cobro (absorber/pasar)</t>
  </si>
  <si>
    <t xml:space="preserve">EXPERIENCIA DE USUARIO</t>
  </si>
  <si>
    <t xml:space="preserve">UX comprador (compra rápida)</t>
  </si>
  <si>
    <t xml:space="preserve">UX promotor (admin panel)</t>
  </si>
  <si>
    <t xml:space="preserve">Soporte y atención al cliente</t>
  </si>
  <si>
    <t xml:space="preserve">Personalización / white-label</t>
  </si>
  <si>
    <t xml:space="preserve">POSICIONAMIENTO Y MERCADO</t>
  </si>
  <si>
    <t xml:space="preserve">Volumen / penetración de mercado</t>
  </si>
  <si>
    <t xml:space="preserve">Reputación pública / NPS percibido</t>
  </si>
  <si>
    <t xml:space="preserve">Alianzas con recintos / promotores</t>
  </si>
  <si>
    <t xml:space="preserve">Capacidad para eventos masivos</t>
  </si>
  <si>
    <t xml:space="preserve">SCORE PONDERADO TOTAL</t>
  </si>
  <si>
    <t xml:space="preserve">Perfiles ejecutivos por plataforma</t>
  </si>
  <si>
    <t xml:space="preserve">Fortalezas</t>
  </si>
  <si>
    <t xml:space="preserve">Debilidades</t>
  </si>
  <si>
    <t xml:space="preserve">Lecciones para Insignia Pass</t>
  </si>
  <si>
    <t xml:space="preserve">Dominio absoluto en eventos masivos · Alianza estructural con OCESA · Sistema SafeTix con código dinámico · Capacidad técnica para ventas masivas concurrentes · Integración a recintos premium</t>
  </si>
  <si>
    <t xml:space="preserve">24% de cargo (percibido como abusivo) · Falta de transparencia · 1,600+ quejas de reembolso · Imagen pública deteriorada · Cero opción para promotores independientes</t>
  </si>
  <si>
    <t xml:space="preserve">Modelar la confiabilidad técnica pero diferenciar radicalmente en precio y transparencia. Replicar SafeTix con código dinámico propio.</t>
  </si>
  <si>
    <t xml:space="preserve">Red física de puntos de venta nacional · 18 años de operación · Sede MTY con relación recintos del norte · Cobertura nacional logística</t>
  </si>
  <si>
    <t xml:space="preserve">22% de cargo · Plataforma percibida como anticuada UX · Falta de innovación digital · Sin app móvil destacable</t>
  </si>
  <si>
    <t xml:space="preserve">La cobertura física sigue siendo un asset — considerar partnership con tiendas/OXXO en lugar de construir red propia.</t>
  </si>
  <si>
    <t xml:space="preserve">100% mexicana · 15 años · 100+ puntos de venta · Alianza OCESA · Precio relativamente más bajo (15%)</t>
  </si>
  <si>
    <t xml:space="preserve">Sin diferenciación tecnológica clara · Dependencia de OCESA · Marca poco conocida fuera de eventos OCESA</t>
  </si>
  <si>
    <t xml:space="preserve">Hay espacio para una marca claramente mexicana que NO dependa del duopolio.</t>
  </si>
  <si>
    <t xml:space="preserve">Validación criptográfica por boleto · Verificación de identidad de cuenta · Estrategia antifraude diferenciada (Ed Sheeran caso de uso) · Monedero electrónico</t>
  </si>
  <si>
    <t xml:space="preserve">Cargos por servicio reportados como altos en redes · Inconsistencia en tarifas · Cobertura limitada · Marca joven sin reputación clara</t>
  </si>
  <si>
    <t xml:space="preserve">La verificación de identidad + criptografía es un buen ángulo. Insignia Pass puede combinarlo con transparencia.</t>
  </si>
  <si>
    <t xml:space="preserve">Comisión más transparente del mercado (12% + $5) · 12M+ boletos vendidos · Plataforma autoservicio robusta · 26k organizadores activos · Modelo dual de cobro · 5 funciones clave bien implementadas · Excelente knowledge base</t>
  </si>
  <si>
    <t xml:space="preserve">Menor capacidad para eventos masivos vs. Ticketmaster · Menor penetración en venues premium · App móvil podría reforzarse</t>
  </si>
  <si>
    <t xml:space="preserve">Es el referente directo del modelo a seguir. Insignia Pass debe entrar con esta promesa + algo más (precio, tecnología o servicio).</t>
  </si>
  <si>
    <t xml:space="preserve">Certificada por SAT en CDMX y GDL (autoridad fiscal) · Comisión más baja declarada · Multi-método de pago (Bitcoin, OXXO, PayPal) · Gratis para organizadores</t>
  </si>
  <si>
    <t xml:space="preserve">Tamaño limitado · Marca poco conocida · UX y branding básicos · Reportes limitados</t>
  </si>
  <si>
    <t xml:space="preserve">La certificación SAT es un asset de credibilidad. Insignia Pass debe certificarse desde el día 1.</t>
  </si>
  <si>
    <t xml:space="preserve">Calculadora pública de tarifas (transparencia) · Publicación gratuita ilimitada · Best-in-class para eventos pequeños/medianos · Marketing y retargeting integrado · App pulida</t>
  </si>
  <si>
    <t xml:space="preserve">Tarifa puede ser percibida cara para eventos grandes · No domina eventos masivos · Marca global menos identificada con MX</t>
  </si>
  <si>
    <t xml:space="preserve">La transparencia con calculadora pública es replicable y altamente diferenciadora en MX.</t>
  </si>
  <si>
    <t xml:space="preserve">Líder LatAm Argentina/Chile · Promotor recibe el íntegro del precio · DIY simple · Ejecutivo de cuenta dedicado por evento</t>
  </si>
  <si>
    <t xml:space="preserve">Menor presencia en MX · Marca regional · Reportes limitados</t>
  </si>
  <si>
    <t xml:space="preserve">El modelo 'promotor recibe íntegro' es atractivo para vender. Insignia Pass puede usarlo como bandera comercial.</t>
  </si>
  <si>
    <t xml:space="preserve">Mapa de oportunidades para INSIGNIA PASS</t>
  </si>
  <si>
    <t xml:space="preserve">Oportunidad</t>
  </si>
  <si>
    <t xml:space="preserve">Dolor del mercado actual</t>
  </si>
  <si>
    <t xml:space="preserve">Propuesta Insignia Pass</t>
  </si>
  <si>
    <t xml:space="preserve">Prioridad</t>
  </si>
  <si>
    <t xml:space="preserve">Plazo</t>
  </si>
  <si>
    <t xml:space="preserve">Precio justo y transparente</t>
  </si>
  <si>
    <t xml:space="preserve">Cargos del 22-28% percibidos como abusivos; sin publicación abierta</t>
  </si>
  <si>
    <t xml:space="preserve">Cargo 8-10% publicado con calculadora pública en cada evento</t>
  </si>
  <si>
    <t xml:space="preserve">Alta</t>
  </si>
  <si>
    <t xml:space="preserve">Día 1</t>
  </si>
  <si>
    <t xml:space="preserve">Liquidación rápida</t>
  </si>
  <si>
    <t xml:space="preserve">Liquidaciones lentas tras el evento generan quejas a Profeco</t>
  </si>
  <si>
    <t xml:space="preserve">Liquidación T+3 con tablero en tiempo real</t>
  </si>
  <si>
    <t xml:space="preserve">Antifraude clase mundial</t>
  </si>
  <si>
    <t xml:space="preserve">Boletos clonados / reventa especulativa</t>
  </si>
  <si>
    <t xml:space="preserve">Código dinámico + verificación de identidad + wallet NFC</t>
  </si>
  <si>
    <t xml:space="preserve">Fase 1 (0-6 meses)</t>
  </si>
  <si>
    <t xml:space="preserve">Self-service total para promotores</t>
  </si>
  <si>
    <t xml:space="preserve">Mucha dependencia de ejecutivos en TM/Superboletos</t>
  </si>
  <si>
    <t xml:space="preserve">Onboarding 100% autoservicio en menos de 10 min</t>
  </si>
  <si>
    <t xml:space="preserve">App móvil promotor con escaneo</t>
  </si>
  <si>
    <t xml:space="preserve">Apps básicas o inexistentes para staff</t>
  </si>
  <si>
    <t xml:space="preserve">App con escaneo offline, dashboard tiempo real, multi-staff</t>
  </si>
  <si>
    <t xml:space="preserve">Fase 1</t>
  </si>
  <si>
    <t xml:space="preserve">Reportes y analytics premium</t>
  </si>
  <si>
    <t xml:space="preserve">Reportes limitados fuera de Boletia/Eventbrite</t>
  </si>
  <si>
    <t xml:space="preserve">BI con cohortes, fuente de tráfico, mapa de calor de asientos, CAC</t>
  </si>
  <si>
    <t xml:space="preserve">Fase 2 (6-12 meses)</t>
  </si>
  <si>
    <t xml:space="preserve">Marketing nativo (CRM + email)</t>
  </si>
  <si>
    <t xml:space="preserve">Promotores tienen que pagar herramientas externas (Mailchimp, etc.)</t>
  </si>
  <si>
    <t xml:space="preserve">CRM + automation de email/SMS/WA integrado</t>
  </si>
  <si>
    <t xml:space="preserve">Fase 2</t>
  </si>
  <si>
    <t xml:space="preserve">Wallet con stored value</t>
  </si>
  <si>
    <t xml:space="preserve">Reembolsos lentos = quejas. Funticket ya prueba monedero</t>
  </si>
  <si>
    <t xml:space="preserve">Wallet de saldo con reembolso instantáneo + créditos para próximos eventos</t>
  </si>
  <si>
    <t xml:space="preserve">Reventa controlada oficial</t>
  </si>
  <si>
    <t xml:space="preserve">Reventa salvaje fuera de plataforma genera fraude</t>
  </si>
  <si>
    <t xml:space="preserve">Marketplace oficial con piso/techo y comisión compartida</t>
  </si>
  <si>
    <t xml:space="preserve">Integración fiscal SAT</t>
  </si>
  <si>
    <t xml:space="preserve">Facturación es dolor recurrente</t>
  </si>
  <si>
    <t xml:space="preserve">Facturación automática + reportes SAT-ready desde día 1</t>
  </si>
  <si>
    <t xml:space="preserve">Cobertura física estratégica</t>
  </si>
  <si>
    <t xml:space="preserve">Logística para regiones sin tarjeta</t>
  </si>
  <si>
    <t xml:space="preserve">Alianza con OXXO/7-Eleven para venta física + impresión</t>
  </si>
  <si>
    <t xml:space="preserve">Branding white-label para venues</t>
  </si>
  <si>
    <t xml:space="preserve">Venues quieren su marca, no la de la boletera</t>
  </si>
  <si>
    <t xml:space="preserve">Modo white-label con dominio propio del venue</t>
  </si>
  <si>
    <t xml:space="preserve">Streaming híbrido integrado</t>
  </si>
  <si>
    <t xml:space="preserve">Boletia ya lo ofrece; mercado lo demanda post-COVID</t>
  </si>
  <si>
    <t xml:space="preserve">Streaming con paywall integrado + boletos virtuales</t>
  </si>
  <si>
    <t xml:space="preserve">Baja</t>
  </si>
  <si>
    <t xml:space="preserve">Fase 3 (12+ meses)</t>
  </si>
  <si>
    <t xml:space="preserve">Tokenización / NFT opcional</t>
  </si>
  <si>
    <t xml:space="preserve">Mercado global lo adopta; MX aún virgen</t>
  </si>
  <si>
    <t xml:space="preserve">Boletos NFT opcionales como coleccionables para eventos premium</t>
  </si>
  <si>
    <t xml:space="preserve">Fase 3</t>
  </si>
  <si>
    <t xml:space="preserve">Modelo de negocio recomendado · INSIGNIA PASS</t>
  </si>
  <si>
    <t xml:space="preserve">Fuentes de ingreso</t>
  </si>
  <si>
    <t xml:space="preserve">Descripción</t>
  </si>
  <si>
    <t xml:space="preserve">Benchmark / estimación</t>
  </si>
  <si>
    <t xml:space="preserve">Cargo por servicio al comprador</t>
  </si>
  <si>
    <t xml:space="preserve">8-10% sobre precio del boleto</t>
  </si>
  <si>
    <t xml:space="preserve">Vs. 22-28% del mercado dominante</t>
  </si>
  <si>
    <t xml:space="preserve">Procesamiento de pago</t>
  </si>
  <si>
    <t xml:space="preserve">2.9% + $3 MXN (passthrough)</t>
  </si>
  <si>
    <t xml:space="preserve">Costo real Stripe/MercadoPago</t>
  </si>
  <si>
    <t xml:space="preserve">Plan Pro para promotores</t>
  </si>
  <si>
    <t xml:space="preserve">$1,500-$3,500 MXN/mes con reducción de cargo a 6%</t>
  </si>
  <si>
    <t xml:space="preserve">Suscripción opcional</t>
  </si>
  <si>
    <t xml:space="preserve">Marketplace de reventa</t>
  </si>
  <si>
    <t xml:space="preserve">10% de comisión sobre el spread de reventa</t>
  </si>
  <si>
    <t xml:space="preserve">Replicar StubHub controlado</t>
  </si>
  <si>
    <t xml:space="preserve">Servicios premium</t>
  </si>
  <si>
    <t xml:space="preserve">Marketing campaign management, atención dedicada</t>
  </si>
  <si>
    <t xml:space="preserve">Add-on por evento</t>
  </si>
  <si>
    <t xml:space="preserve">Hardware POS/escaneo</t>
  </si>
  <si>
    <t xml:space="preserve">Renta de equipo para venues grandes</t>
  </si>
  <si>
    <t xml:space="preserve">Add-on opcional</t>
  </si>
  <si>
    <t xml:space="preserve">Datos y analytics avanzados</t>
  </si>
  <si>
    <t xml:space="preserve">API de datos para grandes promotores</t>
  </si>
  <si>
    <t xml:space="preserve">Tier enterprise</t>
  </si>
  <si>
    <t xml:space="preserve">Costos clave</t>
  </si>
  <si>
    <t xml:space="preserve">Estimación</t>
  </si>
  <si>
    <t xml:space="preserve">Equipo técnico inicial</t>
  </si>
  <si>
    <t xml:space="preserve">Líder técnico + 3 devs full-stack + 1 mobile + 1 QA</t>
  </si>
  <si>
    <t xml:space="preserve">$1.2-$1.8 MDP/mes</t>
  </si>
  <si>
    <t xml:space="preserve">Infraestructura cloud</t>
  </si>
  <si>
    <t xml:space="preserve">AWS/GCP, CDN, BD, anti-DDoS para picos masivos</t>
  </si>
  <si>
    <t xml:space="preserve">$80-$150k MXN/mes</t>
  </si>
  <si>
    <t xml:space="preserve">Procesamiento pagos</t>
  </si>
  <si>
    <t xml:space="preserve">Pass-through al comprador (no costo neto)</t>
  </si>
  <si>
    <t xml:space="preserve">—</t>
  </si>
  <si>
    <t xml:space="preserve">Soporte 24/7</t>
  </si>
  <si>
    <t xml:space="preserve">BPO o equipo interno bilingüe</t>
  </si>
  <si>
    <t xml:space="preserve">$200-$400k MXN/mes</t>
  </si>
  <si>
    <t xml:space="preserve">Marketing y adquisición</t>
  </si>
  <si>
    <t xml:space="preserve">Para captar promotores en fase de lanzamiento</t>
  </si>
  <si>
    <t xml:space="preserve">$300-$800k MXN/mes (primer año)</t>
  </si>
  <si>
    <t xml:space="preserve">Legal y compliance</t>
  </si>
  <si>
    <t xml:space="preserve">Términos, T&amp;C, Profeco, SAT, datos personales LFPDPPP</t>
  </si>
  <si>
    <t xml:space="preserve">$80-$120k MXN/mes</t>
  </si>
  <si>
    <t xml:space="preserve">Certificaciones</t>
  </si>
  <si>
    <t xml:space="preserve">SAT, INDAUTOR, ISO27001 (futuro)</t>
  </si>
  <si>
    <t xml:space="preserve">$200-$500k MXN/año</t>
  </si>
  <si>
    <t xml:space="preserve">Roadmap recomendado · INSIGNIA PASS</t>
  </si>
  <si>
    <t xml:space="preserve">Fase</t>
  </si>
  <si>
    <t xml:space="preserve">Periodo</t>
  </si>
  <si>
    <t xml:space="preserve">Objetivos</t>
  </si>
  <si>
    <t xml:space="preserve">Entregables clave</t>
  </si>
  <si>
    <t xml:space="preserve">Fase 0 — Validación</t>
  </si>
  <si>
    <t xml:space="preserve">Mes 1-2</t>
  </si>
  <si>
    <t xml:space="preserve">Validar interés con promotores aliados de Insignia · Definir features MVP · Estudio legal y fiscal</t>
  </si>
  <si>
    <t xml:space="preserve">Carta de intención de 5 promotores · Documento de arquitectura técnica · Plan legal SAT/Profeco</t>
  </si>
  <si>
    <t xml:space="preserve">Fase 1 — MVP</t>
  </si>
  <si>
    <t xml:space="preserve">Mes 3-8</t>
  </si>
  <si>
    <t xml:space="preserve">Construir plataforma core: creación evento, compra, escaneo · App básica · Liquidación T+3</t>
  </si>
  <si>
    <t xml:space="preserve">Plataforma web + admin · App de escaneo · 5 eventos piloto · Cargo 8-10% público</t>
  </si>
  <si>
    <t xml:space="preserve">Fase 2 — Crecimiento</t>
  </si>
  <si>
    <t xml:space="preserve">Mes 9-14</t>
  </si>
  <si>
    <t xml:space="preserve">App de comprador iOS/Android · Antifraude código dinámico · CRM y marketing nativo · Reventa controlada</t>
  </si>
  <si>
    <t xml:space="preserve">100+ eventos activos · Wallet con saldo · Dashboard de analytics premium</t>
  </si>
  <si>
    <t xml:space="preserve">Fase 3 — Escala</t>
  </si>
  <si>
    <t xml:space="preserve">Mes 15-24</t>
  </si>
  <si>
    <t xml:space="preserve">Cobertura nacional · Alianzas OXXO/recintos · Tier enterprise · Streaming híbrido</t>
  </si>
  <si>
    <t xml:space="preserve">Operación nacional · 500+ eventos/mes · Top 5 jugadores del mercado independiente</t>
  </si>
  <si>
    <t xml:space="preserve">Fase 4 — Liderazgo</t>
  </si>
  <si>
    <t xml:space="preserve">Mes 25-36</t>
  </si>
  <si>
    <t xml:space="preserve">Internacionalización LatAm · NFT/blockchain opcional · API pública para integradores</t>
  </si>
  <si>
    <t xml:space="preserve">Operación en 3 países · Marketplace de integradores · Posición de retador real al duopolio</t>
  </si>
  <si>
    <t xml:space="preserve">Fuentes consultadas</t>
  </si>
  <si>
    <t xml:space="preserve">Fuente</t>
  </si>
  <si>
    <t xml:space="preserve">URL</t>
  </si>
  <si>
    <t xml:space="preserve">Ticketmaster México sube cargo a 24%</t>
  </si>
  <si>
    <t xml:space="preserve">https://www.xataka.com.mx/musica/ticketmaster-sube-comision-sus-boletos-mexico-ahora-seran-caros-espectaculos</t>
  </si>
  <si>
    <t xml:space="preserve">Ticketmaster 24% — Proyecto Puente</t>
  </si>
  <si>
    <t xml:space="preserve">https://proyectopuente.com.mx/2025/09/18/ticketmaster-mexico-aumenta-cargos-por-servicio-comisiones-representan-casi-una-cuarta-parte-del-valor-del-boleto/</t>
  </si>
  <si>
    <t xml:space="preserve">Profeco no puede regular tarifas — Infobae</t>
  </si>
  <si>
    <t xml:space="preserve">https://www.infobae.com/mexico/2025/09/18/ticketmaster-explica-aumento-en-sus-cargos-y-usuarios-piden-intervencion-de-profeco-la-institucion-no-puede-hacer-nada/</t>
  </si>
  <si>
    <t xml:space="preserve">Superboletos sitio oficial</t>
  </si>
  <si>
    <t xml:space="preserve">https://www.superboletos.com/</t>
  </si>
  <si>
    <t xml:space="preserve">Superboletos / promotores</t>
  </si>
  <si>
    <t xml:space="preserve">https://web2.superboletos.com/SuperBoletos/promotores</t>
  </si>
  <si>
    <t xml:space="preserve">Funticket sitio oficial</t>
  </si>
  <si>
    <t xml:space="preserve">https://funticket.mx/</t>
  </si>
  <si>
    <t xml:space="preserve">Funticket términos</t>
  </si>
  <si>
    <t xml:space="preserve">https://funticket.mx/terminos-y-condiciones/</t>
  </si>
  <si>
    <t xml:space="preserve">Boletia organizadores</t>
  </si>
  <si>
    <t xml:space="preserve">https://organizadores.boletia.com</t>
  </si>
  <si>
    <t xml:space="preserve">Boletia comisión 12% + $5</t>
  </si>
  <si>
    <t xml:space="preserve">https://knowledge.boletia.com/knowledge/cual-es-el-cargo-por-servicio-que-boletia-cobra</t>
  </si>
  <si>
    <t xml:space="preserve">Boletia 12 años</t>
  </si>
  <si>
    <t xml:space="preserve">https://elceo.com/negocios/con-mas-de-12-millones-de-boletos-vendidos-boletia-revoluciona-el-acceso-a-eventos/</t>
  </si>
  <si>
    <t xml:space="preserve">Eventbrite tarifas MX</t>
  </si>
  <si>
    <t xml:space="preserve">https://www.eventbrite.com.mx/help/es-mx/articles/755615/cuanto-les-cuesta-a-los-organizadores-usar-eventbrite/</t>
  </si>
  <si>
    <t xml:space="preserve">Eventbrite pricing</t>
  </si>
  <si>
    <t xml:space="preserve">https://www.eventbrite.com/organizer/pricing/</t>
  </si>
  <si>
    <t xml:space="preserve">Passline sitio oficial</t>
  </si>
  <si>
    <t xml:space="preserve">https://home.passline.com/</t>
  </si>
  <si>
    <t xml:space="preserve">https://boletopolis.com/en/que-hacemos</t>
  </si>
  <si>
    <t xml:space="preserve">Ticketopolis</t>
  </si>
  <si>
    <t xml:space="preserve">https://www.ticketopolis.com/</t>
  </si>
  <si>
    <t xml:space="preserve">https://www.eticket.mx/</t>
  </si>
  <si>
    <t xml:space="preserve">México 3er mercado música — Diario Independiente</t>
  </si>
  <si>
    <t xml:space="preserve">https://www.diarioelindependiente.mx/2026/05/mexico-es-el-tercer-mercado-de-entretenimiento-musical-en-vivo-que-mas-facturo-en-el-mundo</t>
  </si>
  <si>
    <t xml:space="preserve">Mercado entretenimiento $68 mmdp — Mundo Ejecutivo</t>
  </si>
  <si>
    <t xml:space="preserve">https://mundoejecutivocdmx.com/mundo-economico/la-industria-del-entretenimiento-en-vivo-dejo-mas-de-68-mmdp-durante-2025-en-mexico/</t>
  </si>
  <si>
    <t xml:space="preserve">Auge conciertos — El Financiero</t>
  </si>
  <si>
    <t xml:space="preserve">https://www.elfinanciero.com.mx/opinion/jeanette-leyva/2026/04/22/el-auge-de-conciertos-en-mexico-y-su-derrama-economica/</t>
  </si>
  <si>
    <t xml:space="preserve">Boletos falsos / fraude Ticketmaster — Pie de Página</t>
  </si>
  <si>
    <t xml:space="preserve">https://piedepagina.mx/boletos-falsos-y-clonados-el-fraude-de-ticketmaster/</t>
  </si>
  <si>
    <t xml:space="preserve">Profeco derechos cancelación</t>
  </si>
  <si>
    <t xml:space="preserve">https://www.gob.mx/profeco/prensa/ante-una-cancelacion-o-reprogramacion-de-un-evento-profeco-respalda-a-las-y-los-consumidores</t>
  </si>
  <si>
    <t xml:space="preserve">Profeco compensación 20% — Expansión</t>
  </si>
  <si>
    <t xml:space="preserve">https://expansion.mx/empresas/2025/09/24/compensacion-si-cancelan-concierto-de-ultimo-momento-profeco</t>
  </si>
  <si>
    <t xml:space="preserve">Senado propone topes — El Financiero</t>
  </si>
  <si>
    <t xml:space="preserve">https://www.elfinanciero.com.mx/nacional/morena-en-el-senado-busca-frenar-el-abusivo-sobrecosto-en-venta-de-boletos-de-espectaculos-por-internet/</t>
  </si>
  <si>
    <t xml:space="preserve">Cargos 10-28% mercado — Expansión</t>
  </si>
  <si>
    <t xml:space="preserve">https://expansion.mx/empresas/2023/06/13/tope-cargos-por-servicio-ticketmaster-y-superboletos</t>
  </si>
  <si>
    <t xml:space="preserve">NFT tickets blockchain 2025</t>
  </si>
  <si>
    <t xml:space="preserve">https://www.eldiario24.com/tecnologia/2025/05/06/tecnologia-eventos-nft</t>
  </si>
  <si>
    <t xml:space="preserve">Ticketmaster SafeTix código dinámico — Infobae</t>
  </si>
  <si>
    <t xml:space="preserve">https://www.infobae.com/mexico/2026/03/04/ticketmaster-lanza-sistema-antifraude-con-codigo-dinamico-para-entradas-asi-funciona/</t>
  </si>
  <si>
    <t xml:space="preserve">White label ticketing — Ticketsauce</t>
  </si>
  <si>
    <t xml:space="preserve">https://www.ticketsauce.com/</t>
  </si>
  <si>
    <t xml:space="preserve">Ticketplus white label LatAm</t>
  </si>
  <si>
    <t xml:space="preserve">https://servicios.ticketplus.com/nosotros/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</si>
</sst>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\%"/>
    <numFmt numFmtId="166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1F2D4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2D4F"/>
        <bgColor rgb="FF003366"/>
      </patternFill>
    </fill>
    <fill>
      <patternFill patternType="solid">
        <fgColor rgb="FFDDE3F0"/>
        <bgColor rgb="FFC6EFCE"/>
      </patternFill>
    </fill>
    <fill>
      <patternFill patternType="solid">
        <fgColor rgb="FF2E4374"/>
        <bgColor rgb="FF1F2D4F"/>
      </patternFill>
    </fill>
    <fill>
      <patternFill patternType="solid">
        <fgColor rgb="FFFFF2CC"/>
        <bgColor rgb="FFFFEB9C"/>
      </patternFill>
    </fill>
    <fill>
      <patternFill patternType="solid">
        <fgColor rgb="FFC6EFCE"/>
        <bgColor rgb="FFDDE3F0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DDE3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DE3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E4374"/>
      <rgbColor rgb="FF1F2D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xataka.com.mx/musica/ticketmaster-sube-comision-sus-boletos-mexico-ahora-seran-caros-espectaculos" TargetMode="External"/><Relationship Id="rId2" Type="http://schemas.openxmlformats.org/officeDocument/2006/relationships/hyperlink" Target="https://proyectopuente.com.mx/2025/09/18/ticketmaster-mexico-aumenta-cargos-por-servicio-comisiones-representan-casi-una-cuarta-parte-del-valor-del-boleto/" TargetMode="External"/><Relationship Id="rId3" Type="http://schemas.openxmlformats.org/officeDocument/2006/relationships/hyperlink" Target="https://www.infobae.com/mexico/2025/09/18/ticketmaster-explica-aumento-en-sus-cargos-y-usuarios-piden-intervencion-de-profeco-la-institucion-no-puede-hacer-nada/" TargetMode="External"/><Relationship Id="rId4" Type="http://schemas.openxmlformats.org/officeDocument/2006/relationships/hyperlink" Target="https://www.superboletos.com/" TargetMode="External"/><Relationship Id="rId5" Type="http://schemas.openxmlformats.org/officeDocument/2006/relationships/hyperlink" Target="https://web2.superboletos.com/SuperBoletos/promotores" TargetMode="External"/><Relationship Id="rId6" Type="http://schemas.openxmlformats.org/officeDocument/2006/relationships/hyperlink" Target="https://funticket.mx/" TargetMode="External"/><Relationship Id="rId7" Type="http://schemas.openxmlformats.org/officeDocument/2006/relationships/hyperlink" Target="https://funticket.mx/terminos-y-condiciones/" TargetMode="External"/><Relationship Id="rId8" Type="http://schemas.openxmlformats.org/officeDocument/2006/relationships/hyperlink" Target="https://organizadores.boletia.com/" TargetMode="External"/><Relationship Id="rId9" Type="http://schemas.openxmlformats.org/officeDocument/2006/relationships/hyperlink" Target="https://knowledge.boletia.com/knowledge/cual-es-el-cargo-por-servicio-que-boletia-cobra" TargetMode="External"/><Relationship Id="rId10" Type="http://schemas.openxmlformats.org/officeDocument/2006/relationships/hyperlink" Target="https://elceo.com/negocios/con-mas-de-12-millones-de-boletos-vendidos-boletia-revoluciona-el-acceso-a-eventos/" TargetMode="External"/><Relationship Id="rId11" Type="http://schemas.openxmlformats.org/officeDocument/2006/relationships/hyperlink" Target="https://www.eventbrite.com.mx/help/es-mx/articles/755615/cuanto-les-cuesta-a-los-organizadores-usar-eventbrite/" TargetMode="External"/><Relationship Id="rId12" Type="http://schemas.openxmlformats.org/officeDocument/2006/relationships/hyperlink" Target="https://www.eventbrite.com/organizer/pricing/" TargetMode="External"/><Relationship Id="rId13" Type="http://schemas.openxmlformats.org/officeDocument/2006/relationships/hyperlink" Target="https://home.passline.com/" TargetMode="External"/><Relationship Id="rId14" Type="http://schemas.openxmlformats.org/officeDocument/2006/relationships/hyperlink" Target="https://boletopolis.com/en/que-hacemos" TargetMode="External"/><Relationship Id="rId15" Type="http://schemas.openxmlformats.org/officeDocument/2006/relationships/hyperlink" Target="https://www.ticketopolis.com/" TargetMode="External"/><Relationship Id="rId16" Type="http://schemas.openxmlformats.org/officeDocument/2006/relationships/hyperlink" Target="https://www.eticket.mx/" TargetMode="External"/><Relationship Id="rId17" Type="http://schemas.openxmlformats.org/officeDocument/2006/relationships/hyperlink" Target="https://www.diarioelindependiente.mx/2026/05/mexico-es-el-tercer-mercado-de-entretenimiento-musical-en-vivo-que-mas-facturo-en-el-mundo" TargetMode="External"/><Relationship Id="rId18" Type="http://schemas.openxmlformats.org/officeDocument/2006/relationships/hyperlink" Target="https://mundoejecutivocdmx.com/mundo-economico/la-industria-del-entretenimiento-en-vivo-dejo-mas-de-68-mmdp-durante-2025-en-mexico/" TargetMode="External"/><Relationship Id="rId19" Type="http://schemas.openxmlformats.org/officeDocument/2006/relationships/hyperlink" Target="https://www.elfinanciero.com.mx/opinion/jeanette-leyva/2026/04/22/el-auge-de-conciertos-en-mexico-y-su-derrama-economica/" TargetMode="External"/><Relationship Id="rId20" Type="http://schemas.openxmlformats.org/officeDocument/2006/relationships/hyperlink" Target="https://piedepagina.mx/boletos-falsos-y-clonados-el-fraude-de-ticketmaster/" TargetMode="External"/><Relationship Id="rId21" Type="http://schemas.openxmlformats.org/officeDocument/2006/relationships/hyperlink" Target="https://www.gob.mx/profeco/prensa/ante-una-cancelacion-o-reprogramacion-de-un-evento-profeco-respalda-a-las-y-los-consumidores" TargetMode="External"/><Relationship Id="rId22" Type="http://schemas.openxmlformats.org/officeDocument/2006/relationships/hyperlink" Target="https://expansion.mx/empresas/2025/09/24/compensacion-si-cancelan-concierto-de-ultimo-momento-profeco" TargetMode="External"/><Relationship Id="rId23" Type="http://schemas.openxmlformats.org/officeDocument/2006/relationships/hyperlink" Target="https://www.elfinanciero.com.mx/nacional/morena-en-el-senado-busca-frenar-el-abusivo-sobrecosto-en-venta-de-boletos-de-espectaculos-por-internet/" TargetMode="External"/><Relationship Id="rId24" Type="http://schemas.openxmlformats.org/officeDocument/2006/relationships/hyperlink" Target="https://expansion.mx/empresas/2023/06/13/tope-cargos-por-servicio-ticketmaster-y-superboletos" TargetMode="External"/><Relationship Id="rId25" Type="http://schemas.openxmlformats.org/officeDocument/2006/relationships/hyperlink" Target="https://www.eldiario24.com/tecnologia/2025/05/06/tecnologia-eventos-nft" TargetMode="External"/><Relationship Id="rId26" Type="http://schemas.openxmlformats.org/officeDocument/2006/relationships/hyperlink" Target="https://www.infobae.com/mexico/2026/03/04/ticketmaster-lanza-sistema-antifraude-con-codigo-dinamico-para-entradas-asi-funciona/" TargetMode="External"/><Relationship Id="rId27" Type="http://schemas.openxmlformats.org/officeDocument/2006/relationships/hyperlink" Target="https://www.ticketsauce.com/" TargetMode="External"/><Relationship Id="rId28" Type="http://schemas.openxmlformats.org/officeDocument/2006/relationships/hyperlink" Target="https://servicios.ticketplus.com/nosotros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35"/>
    <col collapsed="false" customWidth="true" hidden="false" outlineLevel="0" max="4" min="4" style="0" width="2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4" t="s">
        <v>4</v>
      </c>
      <c r="D4" s="4"/>
    </row>
    <row r="5" customFormat="false" ht="23.85" hidden="false" customHeight="true" outlineLevel="0" collapsed="false">
      <c r="A5" s="5" t="s">
        <v>5</v>
      </c>
      <c r="B5" s="6" t="s">
        <v>6</v>
      </c>
      <c r="C5" s="6" t="s">
        <v>7</v>
      </c>
      <c r="D5" s="6"/>
    </row>
    <row r="6" customFormat="false" ht="15" hidden="false" customHeight="true" outlineLevel="0" collapsed="false">
      <c r="A6" s="5" t="s">
        <v>8</v>
      </c>
      <c r="B6" s="6" t="s">
        <v>9</v>
      </c>
      <c r="C6" s="6" t="s">
        <v>10</v>
      </c>
      <c r="D6" s="6"/>
    </row>
    <row r="7" customFormat="false" ht="15" hidden="false" customHeight="true" outlineLevel="0" collapsed="false">
      <c r="A7" s="5" t="s">
        <v>11</v>
      </c>
      <c r="B7" s="6" t="s">
        <v>12</v>
      </c>
      <c r="C7" s="6" t="s">
        <v>13</v>
      </c>
      <c r="D7" s="6"/>
    </row>
    <row r="8" customFormat="false" ht="15" hidden="false" customHeight="true" outlineLevel="0" collapsed="false">
      <c r="A8" s="5" t="s">
        <v>14</v>
      </c>
      <c r="B8" s="6" t="s">
        <v>15</v>
      </c>
      <c r="C8" s="6" t="s">
        <v>16</v>
      </c>
      <c r="D8" s="6"/>
    </row>
    <row r="9" customFormat="false" ht="15" hidden="false" customHeight="true" outlineLevel="0" collapsed="false">
      <c r="A9" s="5" t="s">
        <v>17</v>
      </c>
      <c r="B9" s="6" t="s">
        <v>18</v>
      </c>
      <c r="C9" s="6" t="s">
        <v>19</v>
      </c>
      <c r="D9" s="6"/>
    </row>
    <row r="10" customFormat="false" ht="15" hidden="false" customHeight="true" outlineLevel="0" collapsed="false">
      <c r="A10" s="5" t="s">
        <v>20</v>
      </c>
      <c r="B10" s="6" t="s">
        <v>21</v>
      </c>
      <c r="C10" s="6" t="s">
        <v>22</v>
      </c>
      <c r="D10" s="6"/>
    </row>
    <row r="11" customFormat="false" ht="15" hidden="false" customHeight="true" outlineLevel="0" collapsed="false">
      <c r="A11" s="5" t="s">
        <v>23</v>
      </c>
      <c r="B11" s="6" t="s">
        <v>24</v>
      </c>
      <c r="C11" s="6" t="s">
        <v>25</v>
      </c>
      <c r="D11" s="6"/>
    </row>
    <row r="12" customFormat="false" ht="15" hidden="false" customHeight="true" outlineLevel="0" collapsed="false">
      <c r="A12" s="5" t="s">
        <v>26</v>
      </c>
      <c r="B12" s="6" t="s">
        <v>27</v>
      </c>
      <c r="C12" s="6" t="s">
        <v>28</v>
      </c>
      <c r="D12" s="6"/>
    </row>
    <row r="13" customFormat="false" ht="15" hidden="false" customHeight="true" outlineLevel="0" collapsed="false">
      <c r="A13" s="5" t="s">
        <v>29</v>
      </c>
      <c r="B13" s="6" t="s">
        <v>30</v>
      </c>
      <c r="C13" s="6" t="s">
        <v>31</v>
      </c>
      <c r="D13" s="6"/>
    </row>
    <row r="16" customFormat="false" ht="27.75" hidden="false" customHeight="true" outlineLevel="0" collapsed="false">
      <c r="A16" s="1" t="s">
        <v>32</v>
      </c>
      <c r="B16" s="1"/>
      <c r="C16" s="1"/>
      <c r="D16" s="1"/>
    </row>
    <row r="17" customFormat="false" ht="24" hidden="false" customHeight="true" outlineLevel="0" collapsed="false">
      <c r="A17" s="6" t="s">
        <v>33</v>
      </c>
      <c r="B17" s="6"/>
      <c r="C17" s="6"/>
      <c r="D17" s="6"/>
    </row>
    <row r="18" customFormat="false" ht="24" hidden="false" customHeight="true" outlineLevel="0" collapsed="false">
      <c r="A18" s="6" t="s">
        <v>34</v>
      </c>
      <c r="B18" s="6"/>
      <c r="C18" s="6"/>
      <c r="D18" s="6"/>
    </row>
    <row r="19" customFormat="false" ht="24" hidden="false" customHeight="true" outlineLevel="0" collapsed="false">
      <c r="A19" s="6" t="s">
        <v>35</v>
      </c>
      <c r="B19" s="6"/>
      <c r="C19" s="6"/>
      <c r="D19" s="6"/>
    </row>
    <row r="20" customFormat="false" ht="24" hidden="false" customHeight="true" outlineLevel="0" collapsed="false">
      <c r="A20" s="6" t="s">
        <v>36</v>
      </c>
      <c r="B20" s="6"/>
      <c r="C20" s="6"/>
      <c r="D20" s="6"/>
    </row>
    <row r="21" customFormat="false" ht="24" hidden="false" customHeight="true" outlineLevel="0" collapsed="false">
      <c r="A21" s="6" t="s">
        <v>37</v>
      </c>
      <c r="B21" s="6"/>
      <c r="C21" s="6"/>
      <c r="D21" s="6"/>
    </row>
    <row r="22" customFormat="false" ht="24" hidden="false" customHeight="true" outlineLevel="0" collapsed="false">
      <c r="A22" s="6" t="s">
        <v>38</v>
      </c>
      <c r="B22" s="6"/>
      <c r="C22" s="6"/>
      <c r="D22" s="6"/>
    </row>
    <row r="23" customFormat="false" ht="24" hidden="false" customHeight="true" outlineLevel="0" collapsed="false">
      <c r="A23" s="6" t="s">
        <v>39</v>
      </c>
      <c r="B23" s="6"/>
      <c r="C23" s="6"/>
      <c r="D23" s="6"/>
    </row>
    <row r="24" customFormat="false" ht="24" hidden="false" customHeight="true" outlineLevel="0" collapsed="false">
      <c r="A24" s="6" t="s">
        <v>40</v>
      </c>
      <c r="B24" s="6"/>
      <c r="C24" s="6"/>
      <c r="D24" s="6"/>
    </row>
  </sheetData>
  <mergeCells count="21">
    <mergeCell ref="A1:D1"/>
    <mergeCell ref="A2:D2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5" min="4" style="0" width="22"/>
    <col collapsed="false" customWidth="true" hidden="false" outlineLevel="0" max="6" min="6" style="0" width="40"/>
  </cols>
  <sheetData>
    <row r="1" customFormat="false" ht="27.75" hidden="false" customHeight="true" outlineLevel="0" collapsed="false">
      <c r="A1" s="1" t="s">
        <v>41</v>
      </c>
      <c r="B1" s="1"/>
      <c r="C1" s="1"/>
      <c r="D1" s="1"/>
      <c r="E1" s="1"/>
      <c r="F1" s="1"/>
    </row>
    <row r="3" customFormat="false" ht="31.5" hidden="false" customHeight="true" outlineLevel="0" collapsed="false">
      <c r="A3" s="7" t="s">
        <v>42</v>
      </c>
      <c r="B3" s="7" t="s">
        <v>43</v>
      </c>
      <c r="C3" s="7" t="s">
        <v>44</v>
      </c>
      <c r="D3" s="7" t="s">
        <v>45</v>
      </c>
      <c r="E3" s="7" t="s">
        <v>46</v>
      </c>
      <c r="F3" s="7" t="s">
        <v>47</v>
      </c>
    </row>
    <row r="4" customFormat="false" ht="30" hidden="false" customHeight="true" outlineLevel="0" collapsed="false">
      <c r="A4" s="6" t="s">
        <v>48</v>
      </c>
      <c r="B4" s="6" t="s">
        <v>49</v>
      </c>
      <c r="C4" s="6" t="s">
        <v>50</v>
      </c>
      <c r="D4" s="6" t="s">
        <v>51</v>
      </c>
      <c r="E4" s="6" t="s">
        <v>52</v>
      </c>
      <c r="F4" s="6" t="s">
        <v>53</v>
      </c>
    </row>
    <row r="5" customFormat="false" ht="30" hidden="false" customHeight="true" outlineLevel="0" collapsed="false">
      <c r="A5" s="6" t="s">
        <v>54</v>
      </c>
      <c r="B5" s="6" t="s">
        <v>55</v>
      </c>
      <c r="C5" s="6" t="s">
        <v>56</v>
      </c>
      <c r="D5" s="6" t="s">
        <v>51</v>
      </c>
      <c r="E5" s="6" t="s">
        <v>57</v>
      </c>
      <c r="F5" s="6" t="s">
        <v>58</v>
      </c>
    </row>
    <row r="6" customFormat="false" ht="30" hidden="false" customHeight="true" outlineLevel="0" collapsed="false">
      <c r="A6" s="6" t="s">
        <v>59</v>
      </c>
      <c r="B6" s="6" t="s">
        <v>60</v>
      </c>
      <c r="C6" s="6" t="s">
        <v>61</v>
      </c>
      <c r="D6" s="6" t="s">
        <v>51</v>
      </c>
      <c r="E6" s="6" t="s">
        <v>62</v>
      </c>
      <c r="F6" s="6" t="s">
        <v>63</v>
      </c>
    </row>
    <row r="7" customFormat="false" ht="30" hidden="false" customHeight="true" outlineLevel="0" collapsed="false">
      <c r="A7" s="6" t="s">
        <v>64</v>
      </c>
      <c r="B7" s="6" t="s">
        <v>65</v>
      </c>
      <c r="C7" s="6" t="s">
        <v>66</v>
      </c>
      <c r="D7" s="6" t="s">
        <v>51</v>
      </c>
      <c r="E7" s="6" t="s">
        <v>67</v>
      </c>
      <c r="F7" s="6" t="s">
        <v>68</v>
      </c>
    </row>
    <row r="8" customFormat="false" ht="30" hidden="false" customHeight="true" outlineLevel="0" collapsed="false">
      <c r="A8" s="6" t="s">
        <v>69</v>
      </c>
      <c r="B8" s="6" t="s">
        <v>70</v>
      </c>
      <c r="C8" s="6" t="s">
        <v>71</v>
      </c>
      <c r="D8" s="6" t="s">
        <v>72</v>
      </c>
      <c r="E8" s="6" t="s">
        <v>73</v>
      </c>
      <c r="F8" s="6" t="s">
        <v>74</v>
      </c>
    </row>
    <row r="9" customFormat="false" ht="30" hidden="false" customHeight="true" outlineLevel="0" collapsed="false">
      <c r="A9" s="6" t="s">
        <v>75</v>
      </c>
      <c r="B9" s="6" t="s">
        <v>76</v>
      </c>
      <c r="C9" s="6" t="s">
        <v>77</v>
      </c>
      <c r="D9" s="6" t="s">
        <v>51</v>
      </c>
      <c r="E9" s="6" t="s">
        <v>62</v>
      </c>
      <c r="F9" s="6" t="s">
        <v>78</v>
      </c>
    </row>
    <row r="10" customFormat="false" ht="30" hidden="false" customHeight="true" outlineLevel="0" collapsed="false">
      <c r="A10" s="6" t="s">
        <v>79</v>
      </c>
      <c r="B10" s="6" t="s">
        <v>80</v>
      </c>
      <c r="C10" s="6" t="s">
        <v>81</v>
      </c>
      <c r="D10" s="6" t="s">
        <v>82</v>
      </c>
      <c r="E10" s="6" t="s">
        <v>83</v>
      </c>
      <c r="F10" s="6" t="s">
        <v>84</v>
      </c>
    </row>
    <row r="11" customFormat="false" ht="30" hidden="false" customHeight="true" outlineLevel="0" collapsed="false">
      <c r="A11" s="6" t="s">
        <v>85</v>
      </c>
      <c r="B11" s="6" t="s">
        <v>51</v>
      </c>
      <c r="C11" s="6" t="s">
        <v>86</v>
      </c>
      <c r="D11" s="6" t="s">
        <v>51</v>
      </c>
      <c r="E11" s="6" t="s">
        <v>62</v>
      </c>
      <c r="F11" s="6" t="s">
        <v>87</v>
      </c>
    </row>
    <row r="12" customFormat="false" ht="30" hidden="false" customHeight="true" outlineLevel="0" collapsed="false">
      <c r="A12" s="8" t="s">
        <v>88</v>
      </c>
      <c r="B12" s="8" t="s">
        <v>89</v>
      </c>
      <c r="C12" s="8" t="s">
        <v>90</v>
      </c>
      <c r="D12" s="8" t="s">
        <v>91</v>
      </c>
      <c r="E12" s="8" t="s">
        <v>92</v>
      </c>
      <c r="F12" s="8" t="s">
        <v>93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10" min="2" style="0" width="14"/>
    <col collapsed="false" customWidth="true" hidden="false" outlineLevel="0" max="11" min="11" style="0" width="12"/>
  </cols>
  <sheetData>
    <row r="1" customFormat="false" ht="27.75" hidden="false" customHeight="true" outlineLevel="0" collapsed="false">
      <c r="A1" s="1" t="s">
        <v>94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95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49.5" hidden="false" customHeight="true" outlineLevel="0" collapsed="false">
      <c r="A4" s="7" t="s">
        <v>96</v>
      </c>
      <c r="B4" s="7" t="s">
        <v>97</v>
      </c>
      <c r="C4" s="7" t="s">
        <v>54</v>
      </c>
      <c r="D4" s="7" t="s">
        <v>59</v>
      </c>
      <c r="E4" s="7" t="s">
        <v>64</v>
      </c>
      <c r="F4" s="7" t="s">
        <v>69</v>
      </c>
      <c r="G4" s="7" t="s">
        <v>98</v>
      </c>
      <c r="H4" s="7" t="s">
        <v>99</v>
      </c>
      <c r="I4" s="7" t="s">
        <v>85</v>
      </c>
      <c r="J4" s="7" t="s">
        <v>100</v>
      </c>
      <c r="K4" s="7" t="s">
        <v>101</v>
      </c>
    </row>
    <row r="5" customFormat="false" ht="15" hidden="false" customHeight="false" outlineLevel="0" collapsed="false">
      <c r="A5" s="9" t="s">
        <v>102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customFormat="false" ht="15" hidden="false" customHeight="false" outlineLevel="0" collapsed="false">
      <c r="A6" s="5" t="s">
        <v>103</v>
      </c>
      <c r="B6" s="11" t="n">
        <v>4</v>
      </c>
      <c r="C6" s="12" t="n">
        <v>3</v>
      </c>
      <c r="D6" s="12" t="n">
        <v>3</v>
      </c>
      <c r="E6" s="12" t="n">
        <v>3</v>
      </c>
      <c r="F6" s="11" t="n">
        <v>5</v>
      </c>
      <c r="G6" s="11" t="n">
        <v>4</v>
      </c>
      <c r="H6" s="11" t="n">
        <v>5</v>
      </c>
      <c r="I6" s="11" t="n">
        <v>4</v>
      </c>
      <c r="J6" s="11" t="n">
        <v>5</v>
      </c>
      <c r="K6" s="13" t="n">
        <v>8</v>
      </c>
    </row>
    <row r="7" customFormat="false" ht="15" hidden="false" customHeight="false" outlineLevel="0" collapsed="false">
      <c r="A7" s="5" t="s">
        <v>104</v>
      </c>
      <c r="B7" s="11" t="n">
        <v>5</v>
      </c>
      <c r="C7" s="11" t="n">
        <v>4</v>
      </c>
      <c r="D7" s="11" t="n">
        <v>4</v>
      </c>
      <c r="E7" s="12" t="n">
        <v>3</v>
      </c>
      <c r="F7" s="11" t="n">
        <v>4</v>
      </c>
      <c r="G7" s="12" t="n">
        <v>3</v>
      </c>
      <c r="H7" s="12" t="n">
        <v>3</v>
      </c>
      <c r="I7" s="12" t="n">
        <v>3</v>
      </c>
      <c r="J7" s="11" t="n">
        <v>5</v>
      </c>
      <c r="K7" s="13" t="n">
        <v>6</v>
      </c>
    </row>
    <row r="8" customFormat="false" ht="15" hidden="false" customHeight="false" outlineLevel="0" collapsed="false">
      <c r="A8" s="5" t="s">
        <v>105</v>
      </c>
      <c r="B8" s="11" t="n">
        <v>5</v>
      </c>
      <c r="C8" s="11" t="n">
        <v>4</v>
      </c>
      <c r="D8" s="11" t="n">
        <v>4</v>
      </c>
      <c r="E8" s="11" t="n">
        <v>4</v>
      </c>
      <c r="F8" s="11" t="n">
        <v>4</v>
      </c>
      <c r="G8" s="11" t="n">
        <v>4</v>
      </c>
      <c r="H8" s="11" t="n">
        <v>4</v>
      </c>
      <c r="I8" s="12" t="n">
        <v>3</v>
      </c>
      <c r="J8" s="11" t="n">
        <v>5</v>
      </c>
      <c r="K8" s="13" t="n">
        <v>8</v>
      </c>
    </row>
    <row r="9" customFormat="false" ht="15" hidden="false" customHeight="false" outlineLevel="0" collapsed="false">
      <c r="A9" s="5" t="s">
        <v>106</v>
      </c>
      <c r="B9" s="11" t="n">
        <v>5</v>
      </c>
      <c r="C9" s="12" t="n">
        <v>3</v>
      </c>
      <c r="D9" s="11" t="n">
        <v>4</v>
      </c>
      <c r="E9" s="12" t="n">
        <v>3</v>
      </c>
      <c r="F9" s="11" t="n">
        <v>4</v>
      </c>
      <c r="G9" s="12" t="n">
        <v>3</v>
      </c>
      <c r="H9" s="11" t="n">
        <v>5</v>
      </c>
      <c r="I9" s="12" t="n">
        <v>3</v>
      </c>
      <c r="J9" s="11" t="n">
        <v>5</v>
      </c>
      <c r="K9" s="13" t="n">
        <v>5</v>
      </c>
    </row>
    <row r="10" customFormat="false" ht="15" hidden="false" customHeight="false" outlineLevel="0" collapsed="false">
      <c r="A10" s="5" t="s">
        <v>107</v>
      </c>
      <c r="B10" s="11" t="n">
        <v>4</v>
      </c>
      <c r="C10" s="12" t="n">
        <v>3</v>
      </c>
      <c r="D10" s="12" t="n">
        <v>3</v>
      </c>
      <c r="E10" s="12" t="n">
        <v>3</v>
      </c>
      <c r="F10" s="12" t="n">
        <v>3</v>
      </c>
      <c r="G10" s="12" t="n">
        <v>3</v>
      </c>
      <c r="H10" s="11" t="n">
        <v>4</v>
      </c>
      <c r="I10" s="12" t="n">
        <v>3</v>
      </c>
      <c r="J10" s="11" t="n">
        <v>5</v>
      </c>
      <c r="K10" s="13" t="n">
        <v>5</v>
      </c>
    </row>
    <row r="11" customFormat="false" ht="15" hidden="false" customHeight="false" outlineLevel="0" collapsed="false">
      <c r="A11" s="5" t="s">
        <v>108</v>
      </c>
      <c r="B11" s="11" t="n">
        <v>5</v>
      </c>
      <c r="C11" s="12" t="n">
        <v>3</v>
      </c>
      <c r="D11" s="12" t="n">
        <v>3</v>
      </c>
      <c r="E11" s="12" t="n">
        <v>3</v>
      </c>
      <c r="F11" s="11" t="n">
        <v>5</v>
      </c>
      <c r="G11" s="12" t="n">
        <v>3</v>
      </c>
      <c r="H11" s="11" t="n">
        <v>5</v>
      </c>
      <c r="I11" s="12" t="n">
        <v>3</v>
      </c>
      <c r="J11" s="11" t="n">
        <v>5</v>
      </c>
      <c r="K11" s="13" t="n">
        <v>8</v>
      </c>
    </row>
    <row r="12" customFormat="false" ht="15" hidden="false" customHeight="false" outlineLevel="0" collapsed="false">
      <c r="A12" s="5" t="s">
        <v>109</v>
      </c>
      <c r="B12" s="11" t="n">
        <v>4</v>
      </c>
      <c r="C12" s="14" t="n">
        <v>2</v>
      </c>
      <c r="D12" s="12" t="n">
        <v>3</v>
      </c>
      <c r="E12" s="14" t="n">
        <v>2</v>
      </c>
      <c r="F12" s="11" t="n">
        <v>5</v>
      </c>
      <c r="G12" s="14" t="n">
        <v>2</v>
      </c>
      <c r="H12" s="11" t="n">
        <v>5</v>
      </c>
      <c r="I12" s="12" t="n">
        <v>3</v>
      </c>
      <c r="J12" s="11" t="n">
        <v>5</v>
      </c>
      <c r="K12" s="13" t="n">
        <v>6</v>
      </c>
    </row>
    <row r="13" customFormat="false" ht="15" hidden="false" customHeight="false" outlineLevel="0" collapsed="false">
      <c r="A13" s="5" t="s">
        <v>110</v>
      </c>
      <c r="B13" s="11" t="n">
        <v>4</v>
      </c>
      <c r="C13" s="12" t="n">
        <v>3</v>
      </c>
      <c r="D13" s="12" t="n">
        <v>3</v>
      </c>
      <c r="E13" s="14" t="n">
        <v>2</v>
      </c>
      <c r="F13" s="11" t="n">
        <v>5</v>
      </c>
      <c r="G13" s="14" t="n">
        <v>2</v>
      </c>
      <c r="H13" s="11" t="n">
        <v>4</v>
      </c>
      <c r="I13" s="12" t="n">
        <v>3</v>
      </c>
      <c r="J13" s="11" t="n">
        <v>5</v>
      </c>
      <c r="K13" s="13" t="n">
        <v>5</v>
      </c>
    </row>
    <row r="14" customFormat="false" ht="15" hidden="false" customHeight="false" outlineLevel="0" collapsed="false">
      <c r="A14" s="5" t="s">
        <v>111</v>
      </c>
      <c r="B14" s="11" t="n">
        <v>5</v>
      </c>
      <c r="C14" s="14" t="n">
        <v>2</v>
      </c>
      <c r="D14" s="12" t="n">
        <v>3</v>
      </c>
      <c r="E14" s="11" t="n">
        <v>4</v>
      </c>
      <c r="F14" s="12" t="n">
        <v>3</v>
      </c>
      <c r="G14" s="14" t="n">
        <v>2</v>
      </c>
      <c r="H14" s="11" t="n">
        <v>4</v>
      </c>
      <c r="I14" s="14" t="n">
        <v>2</v>
      </c>
      <c r="J14" s="11" t="n">
        <v>5</v>
      </c>
      <c r="K14" s="13" t="n">
        <v>8</v>
      </c>
    </row>
    <row r="15" customFormat="false" ht="15" hidden="false" customHeight="false" outlineLevel="0" collapsed="false">
      <c r="A15" s="5" t="s">
        <v>112</v>
      </c>
      <c r="B15" s="11" t="n">
        <v>4</v>
      </c>
      <c r="C15" s="14" t="n">
        <v>2</v>
      </c>
      <c r="D15" s="14" t="n">
        <v>2</v>
      </c>
      <c r="E15" s="14" t="n">
        <v>2</v>
      </c>
      <c r="F15" s="14" t="n">
        <v>2</v>
      </c>
      <c r="G15" s="14" t="n">
        <v>2</v>
      </c>
      <c r="H15" s="12" t="n">
        <v>3</v>
      </c>
      <c r="I15" s="14" t="n">
        <v>2</v>
      </c>
      <c r="J15" s="11" t="n">
        <v>5</v>
      </c>
      <c r="K15" s="13" t="n">
        <v>5</v>
      </c>
    </row>
    <row r="16" customFormat="false" ht="15" hidden="false" customHeight="false" outlineLevel="0" collapsed="false">
      <c r="A16" s="9" t="s">
        <v>113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customFormat="false" ht="15" hidden="false" customHeight="false" outlineLevel="0" collapsed="false">
      <c r="A17" s="5" t="s">
        <v>114</v>
      </c>
      <c r="B17" s="14" t="n">
        <v>1</v>
      </c>
      <c r="C17" s="14" t="n">
        <v>2</v>
      </c>
      <c r="D17" s="12" t="n">
        <v>3</v>
      </c>
      <c r="E17" s="14" t="n">
        <v>2</v>
      </c>
      <c r="F17" s="11" t="n">
        <v>4</v>
      </c>
      <c r="G17" s="11" t="n">
        <v>5</v>
      </c>
      <c r="H17" s="11" t="n">
        <v>4</v>
      </c>
      <c r="I17" s="11" t="n">
        <v>4</v>
      </c>
      <c r="J17" s="11" t="n">
        <v>5</v>
      </c>
      <c r="K17" s="13" t="n">
        <v>10</v>
      </c>
    </row>
    <row r="18" customFormat="false" ht="15" hidden="false" customHeight="false" outlineLevel="0" collapsed="false">
      <c r="A18" s="5" t="s">
        <v>115</v>
      </c>
      <c r="B18" s="14" t="n">
        <v>2</v>
      </c>
      <c r="C18" s="14" t="n">
        <v>2</v>
      </c>
      <c r="D18" s="12" t="n">
        <v>3</v>
      </c>
      <c r="E18" s="14" t="n">
        <v>2</v>
      </c>
      <c r="F18" s="11" t="n">
        <v>5</v>
      </c>
      <c r="G18" s="12" t="n">
        <v>3</v>
      </c>
      <c r="H18" s="11" t="n">
        <v>5</v>
      </c>
      <c r="I18" s="12" t="n">
        <v>3</v>
      </c>
      <c r="J18" s="11" t="n">
        <v>5</v>
      </c>
      <c r="K18" s="13" t="n">
        <v>6</v>
      </c>
    </row>
    <row r="19" customFormat="false" ht="15" hidden="false" customHeight="false" outlineLevel="0" collapsed="false">
      <c r="A19" s="5" t="s">
        <v>116</v>
      </c>
      <c r="B19" s="12" t="n">
        <v>3</v>
      </c>
      <c r="C19" s="12" t="n">
        <v>3</v>
      </c>
      <c r="D19" s="12" t="n">
        <v>3</v>
      </c>
      <c r="E19" s="12" t="n">
        <v>3</v>
      </c>
      <c r="F19" s="11" t="n">
        <v>4</v>
      </c>
      <c r="G19" s="11" t="n">
        <v>4</v>
      </c>
      <c r="H19" s="11" t="n">
        <v>4</v>
      </c>
      <c r="I19" s="12" t="n">
        <v>3</v>
      </c>
      <c r="J19" s="11" t="n">
        <v>5</v>
      </c>
      <c r="K19" s="13" t="n">
        <v>5</v>
      </c>
    </row>
    <row r="20" customFormat="false" ht="15" hidden="false" customHeight="false" outlineLevel="0" collapsed="false">
      <c r="A20" s="5" t="s">
        <v>117</v>
      </c>
      <c r="B20" s="12" t="n">
        <v>3</v>
      </c>
      <c r="C20" s="14" t="n">
        <v>2</v>
      </c>
      <c r="D20" s="14" t="n">
        <v>2</v>
      </c>
      <c r="E20" s="14" t="n">
        <v>2</v>
      </c>
      <c r="F20" s="11" t="n">
        <v>5</v>
      </c>
      <c r="G20" s="12" t="n">
        <v>3</v>
      </c>
      <c r="H20" s="11" t="n">
        <v>5</v>
      </c>
      <c r="I20" s="11" t="n">
        <v>4</v>
      </c>
      <c r="J20" s="11" t="n">
        <v>5</v>
      </c>
      <c r="K20" s="13" t="n">
        <v>4</v>
      </c>
    </row>
    <row r="21" customFormat="false" ht="15" hidden="false" customHeight="false" outlineLevel="0" collapsed="false">
      <c r="A21" s="9" t="s">
        <v>118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customFormat="false" ht="15" hidden="false" customHeight="false" outlineLevel="0" collapsed="false">
      <c r="A22" s="5" t="s">
        <v>119</v>
      </c>
      <c r="B22" s="11" t="n">
        <v>4</v>
      </c>
      <c r="C22" s="12" t="n">
        <v>3</v>
      </c>
      <c r="D22" s="12" t="n">
        <v>3</v>
      </c>
      <c r="E22" s="12" t="n">
        <v>3</v>
      </c>
      <c r="F22" s="11" t="n">
        <v>4</v>
      </c>
      <c r="G22" s="12" t="n">
        <v>3</v>
      </c>
      <c r="H22" s="11" t="n">
        <v>5</v>
      </c>
      <c r="I22" s="12" t="n">
        <v>3</v>
      </c>
      <c r="J22" s="11" t="n">
        <v>5</v>
      </c>
      <c r="K22" s="13" t="n">
        <v>6</v>
      </c>
    </row>
    <row r="23" customFormat="false" ht="15" hidden="false" customHeight="false" outlineLevel="0" collapsed="false">
      <c r="A23" s="5" t="s">
        <v>120</v>
      </c>
      <c r="B23" s="11" t="n">
        <v>4</v>
      </c>
      <c r="C23" s="12" t="n">
        <v>3</v>
      </c>
      <c r="D23" s="12" t="n">
        <v>3</v>
      </c>
      <c r="E23" s="12" t="n">
        <v>3</v>
      </c>
      <c r="F23" s="11" t="n">
        <v>5</v>
      </c>
      <c r="G23" s="12" t="n">
        <v>3</v>
      </c>
      <c r="H23" s="11" t="n">
        <v>5</v>
      </c>
      <c r="I23" s="12" t="n">
        <v>3</v>
      </c>
      <c r="J23" s="11" t="n">
        <v>5</v>
      </c>
      <c r="K23" s="13" t="n">
        <v>6</v>
      </c>
    </row>
    <row r="24" customFormat="false" ht="15" hidden="false" customHeight="false" outlineLevel="0" collapsed="false">
      <c r="A24" s="5" t="s">
        <v>121</v>
      </c>
      <c r="B24" s="14" t="n">
        <v>2</v>
      </c>
      <c r="C24" s="12" t="n">
        <v>3</v>
      </c>
      <c r="D24" s="12" t="n">
        <v>3</v>
      </c>
      <c r="E24" s="12" t="n">
        <v>3</v>
      </c>
      <c r="F24" s="11" t="n">
        <v>4</v>
      </c>
      <c r="G24" s="11" t="n">
        <v>4</v>
      </c>
      <c r="H24" s="11" t="n">
        <v>4</v>
      </c>
      <c r="I24" s="11" t="n">
        <v>4</v>
      </c>
      <c r="J24" s="11" t="n">
        <v>5</v>
      </c>
      <c r="K24" s="13" t="n">
        <v>5</v>
      </c>
    </row>
    <row r="25" customFormat="false" ht="15" hidden="false" customHeight="false" outlineLevel="0" collapsed="false">
      <c r="A25" s="5" t="s">
        <v>122</v>
      </c>
      <c r="B25" s="12" t="n">
        <v>3</v>
      </c>
      <c r="C25" s="14" t="n">
        <v>2</v>
      </c>
      <c r="D25" s="14" t="n">
        <v>2</v>
      </c>
      <c r="E25" s="14" t="n">
        <v>2</v>
      </c>
      <c r="F25" s="11" t="n">
        <v>4</v>
      </c>
      <c r="G25" s="12" t="n">
        <v>3</v>
      </c>
      <c r="H25" s="11" t="n">
        <v>4</v>
      </c>
      <c r="I25" s="12" t="n">
        <v>3</v>
      </c>
      <c r="J25" s="11" t="n">
        <v>5</v>
      </c>
      <c r="K25" s="13" t="n">
        <v>4</v>
      </c>
    </row>
    <row r="26" customFormat="false" ht="15" hidden="false" customHeight="false" outlineLevel="0" collapsed="false">
      <c r="A26" s="9" t="s">
        <v>123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customFormat="false" ht="15" hidden="false" customHeight="false" outlineLevel="0" collapsed="false">
      <c r="A27" s="5" t="s">
        <v>124</v>
      </c>
      <c r="B27" s="11" t="n">
        <v>5</v>
      </c>
      <c r="C27" s="11" t="n">
        <v>4</v>
      </c>
      <c r="D27" s="11" t="n">
        <v>4</v>
      </c>
      <c r="E27" s="12" t="n">
        <v>3</v>
      </c>
      <c r="F27" s="11" t="n">
        <v>4</v>
      </c>
      <c r="G27" s="12" t="n">
        <v>3</v>
      </c>
      <c r="H27" s="11" t="n">
        <v>4</v>
      </c>
      <c r="I27" s="12" t="n">
        <v>3</v>
      </c>
      <c r="J27" s="14" t="n">
        <v>1</v>
      </c>
      <c r="K27" s="13" t="n">
        <v>6</v>
      </c>
    </row>
    <row r="28" customFormat="false" ht="15" hidden="false" customHeight="false" outlineLevel="0" collapsed="false">
      <c r="A28" s="5" t="s">
        <v>125</v>
      </c>
      <c r="B28" s="14" t="n">
        <v>2</v>
      </c>
      <c r="C28" s="12" t="n">
        <v>3</v>
      </c>
      <c r="D28" s="12" t="n">
        <v>3</v>
      </c>
      <c r="E28" s="14" t="n">
        <v>2</v>
      </c>
      <c r="F28" s="11" t="n">
        <v>4</v>
      </c>
      <c r="G28" s="11" t="n">
        <v>4</v>
      </c>
      <c r="H28" s="11" t="n">
        <v>4</v>
      </c>
      <c r="I28" s="12" t="n">
        <v>3</v>
      </c>
      <c r="J28" s="11" t="n">
        <v>5</v>
      </c>
      <c r="K28" s="13" t="n">
        <v>5</v>
      </c>
    </row>
    <row r="29" customFormat="false" ht="15" hidden="false" customHeight="false" outlineLevel="0" collapsed="false">
      <c r="A29" s="5" t="s">
        <v>126</v>
      </c>
      <c r="B29" s="11" t="n">
        <v>5</v>
      </c>
      <c r="C29" s="11" t="n">
        <v>4</v>
      </c>
      <c r="D29" s="11" t="n">
        <v>4</v>
      </c>
      <c r="E29" s="12" t="n">
        <v>3</v>
      </c>
      <c r="F29" s="11" t="n">
        <v>4</v>
      </c>
      <c r="G29" s="11" t="n">
        <v>4</v>
      </c>
      <c r="H29" s="12" t="n">
        <v>3</v>
      </c>
      <c r="I29" s="12" t="n">
        <v>3</v>
      </c>
      <c r="J29" s="14" t="n">
        <v>2</v>
      </c>
      <c r="K29" s="13" t="n">
        <v>5</v>
      </c>
    </row>
    <row r="30" customFormat="false" ht="15" hidden="false" customHeight="false" outlineLevel="0" collapsed="false">
      <c r="A30" s="5" t="s">
        <v>127</v>
      </c>
      <c r="B30" s="11" t="n">
        <v>5</v>
      </c>
      <c r="C30" s="11" t="n">
        <v>4</v>
      </c>
      <c r="D30" s="11" t="n">
        <v>4</v>
      </c>
      <c r="E30" s="12" t="n">
        <v>3</v>
      </c>
      <c r="F30" s="11" t="n">
        <v>4</v>
      </c>
      <c r="G30" s="12" t="n">
        <v>3</v>
      </c>
      <c r="H30" s="11" t="n">
        <v>4</v>
      </c>
      <c r="I30" s="12" t="n">
        <v>3</v>
      </c>
      <c r="J30" s="11" t="n">
        <v>4</v>
      </c>
      <c r="K30" s="13" t="n">
        <v>4</v>
      </c>
    </row>
    <row r="32" customFormat="false" ht="15" hidden="false" customHeight="false" outlineLevel="0" collapsed="false">
      <c r="A32" s="15" t="s">
        <v>128</v>
      </c>
      <c r="B32" s="16" t="n">
        <f aca="false">(B6*K6+B7*K7+B8*K8+B9*K9+B10*K10+B11*K11+B12*K12+B13*K13+B14*K14+B15*K15+B17*K17+B18*K18+B19*K19+B20*K20+B22*K22+B23*K23+B24*K24+B25*K25+B27*K27+B28*K28+B29*K29+B30*K30)/(K6+K7+K8+K9+K10+K11+K12+K13+K14+K15+K17+K18+K19+K20+K22+K23+K24+K25+K27+K28+K29+K30)</f>
        <v>3.80769230769231</v>
      </c>
      <c r="C32" s="16" t="n">
        <f aca="false">(C6*K6+C7*K7+C8*K8+C9*K9+C10*K10+C11*K11+C12*K12+C13*K13+C14*K14+C15*K15+C17*K17+C18*K18+C19*K19+C20*K20+C22*K22+C23*K23+C24*K24+C25*K25+C27*K27+C28*K28+C29*K29+C30*K30)/(K6+K7+K8+K9+K10+K11+K12+K13+K14+K15+K17+K18+K19+K20+K22+K23+K24+K25+K27+K28+K29+K30)</f>
        <v>2.89230769230769</v>
      </c>
      <c r="D32" s="16" t="n">
        <f aca="false">(D6*K6+D7*K7+D8*K8+D9*K9+D10*K10+D11*K11+D12*K12+D13*K13+D14*K14+D15*K15+D17*K17+D18*K18+D19*K19+D20*K20+D22*K22+D23*K23+D24*K24+D25*K25+D27*K27+D28*K28+D29*K29+D30*K30)/(K6+K7+K8+K9+K10+K11+K12+K13+K14+K15+K17+K18+K19+K20+K22+K23+K24+K25+K27+K28+K29+K30)</f>
        <v>3.16153846153846</v>
      </c>
      <c r="E32" s="16" t="n">
        <f aca="false">(E6*K6+E7*K7+E8*K8+E9*K9+E10*K10+E11*K11+E12*K12+E13*K13+E14*K14+E15*K15+E17*K17+E18*K18+E19*K19+E20*K20+E22*K22+E23*K23+E24*K24+E25*K25+E27*K27+E28*K28+E29*K29+E30*K30)/(K6+K7+K8+K9+K10+K11+K12+K13+K14+K15+K17+K18+K19+K20+K22+K23+K24+K25+K27+K28+K29+K30)</f>
        <v>2.77692307692308</v>
      </c>
      <c r="F32" s="16" t="n">
        <f aca="false">(F6*K6+F7*K7+F8*K8+F9*K9+F10*K10+F11*K11+F12*K12+F13*K13+F14*K14+F15*K15+F17*K17+F18*K18+F19*K19+F20*K20+F22*K22+F23*K23+F24*K24+F25*K25+F27*K27+F28*K28+F29*K29+F30*K30)/(K6+K7+K8+K9+K10+K11+K12+K13+K14+K15+K17+K18+K19+K20+K22+K23+K24+K25+K27+K28+K29+K30)</f>
        <v>4.15384615384615</v>
      </c>
      <c r="G32" s="16" t="n">
        <f aca="false">(G6*K6+G7*K7+G8*K8+G9*K9+G10*K10+G11*K11+G12*K12+G13*K13+G14*K14+G15*K15+G17*K17+G18*K18+G19*K19+G20*K20+G22*K22+G23*K23+G24*K24+G25*K25+G27*K27+G28*K28+G29*K29+G30*K30)/(K6+K7+K8+K9+K10+K11+K12+K13+K14+K15+K17+K18+K19+K20+K22+K23+K24+K25+K27+K28+K29+K30)</f>
        <v>3.24615384615385</v>
      </c>
      <c r="H32" s="16" t="n">
        <f aca="false">(H6*K6+H7*K7+H8*K8+H9*K9+H10*K10+H11*K11+H12*K12+H13*K13+H14*K14+H15*K15+H17*K17+H18*K18+H19*K19+H20*K20+H22*K22+H23*K23+H24*K24+H25*K25+H27*K27+H28*K28+H29*K29+H30*K30)/(K6+K7+K8+K9+K10+K11+K12+K13+K14+K15+K17+K18+K19+K20+K22+K23+K24+K25+K27+K28+K29+K30)</f>
        <v>4.25384615384615</v>
      </c>
      <c r="I32" s="16" t="n">
        <f aca="false">(I6*K6+I7*K7+I8*K8+I9*K9+I10*K10+I11*K11+I12*K12+I13*K13+I14*K14+I15*K15+I17*K17+I18*K18+I19*K19+I20*K20+I22*K22+I23*K23+I24*K24+I25*K25+I27*K27+I28*K28+I29*K29+I30*K30)/(K6+K7+K8+K9+K10+K11+K12+K13+K14+K15+K17+K18+K19+K20+K22+K23+K24+K25+K27+K28+K29+K30)</f>
        <v>3.10769230769231</v>
      </c>
      <c r="J32" s="16" t="n">
        <f aca="false">(J6*K6+J7*K7+J8*K8+J9*K9+J10*K10+J11*K11+J12*K12+J13*K13+J14*K14+J15*K15+J17*K17+J18*K18+J19*K19+J20*K20+J22*K22+J23*K23+J24*K24+J25*K25+J27*K27+J28*K28+J29*K29+J30*K30)/(K6+K7+K8+K9+K10+K11+K12+K13+K14+K15+K17+K18+K19+K20+K22+K23+K24+K25+K27+K28+K29+K30)</f>
        <v>4.66923076923077</v>
      </c>
      <c r="K32" s="17" t="n">
        <f aca="false">SUM(K6:K30)</f>
        <v>130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0"/>
    <col collapsed="false" customWidth="true" hidden="false" outlineLevel="0" max="3" min="3" style="0" width="45"/>
    <col collapsed="false" customWidth="true" hidden="false" outlineLevel="0" max="4" min="4" style="0" width="50"/>
  </cols>
  <sheetData>
    <row r="1" customFormat="false" ht="27.75" hidden="false" customHeight="true" outlineLevel="0" collapsed="false">
      <c r="A1" s="1" t="s">
        <v>129</v>
      </c>
      <c r="B1" s="1"/>
      <c r="C1" s="1"/>
      <c r="D1" s="1"/>
    </row>
    <row r="3" customFormat="false" ht="30" hidden="false" customHeight="true" outlineLevel="0" collapsed="false">
      <c r="A3" s="7" t="s">
        <v>42</v>
      </c>
      <c r="B3" s="7" t="s">
        <v>130</v>
      </c>
      <c r="C3" s="7" t="s">
        <v>131</v>
      </c>
      <c r="D3" s="7" t="s">
        <v>132</v>
      </c>
    </row>
    <row r="4" customFormat="false" ht="109.5" hidden="false" customHeight="true" outlineLevel="0" collapsed="false">
      <c r="A4" s="18" t="s">
        <v>48</v>
      </c>
      <c r="B4" s="19" t="s">
        <v>133</v>
      </c>
      <c r="C4" s="19" t="s">
        <v>134</v>
      </c>
      <c r="D4" s="19" t="s">
        <v>135</v>
      </c>
    </row>
    <row r="5" customFormat="false" ht="109.5" hidden="false" customHeight="true" outlineLevel="0" collapsed="false">
      <c r="A5" s="18" t="s">
        <v>54</v>
      </c>
      <c r="B5" s="19" t="s">
        <v>136</v>
      </c>
      <c r="C5" s="19" t="s">
        <v>137</v>
      </c>
      <c r="D5" s="19" t="s">
        <v>138</v>
      </c>
    </row>
    <row r="6" customFormat="false" ht="109.5" hidden="false" customHeight="true" outlineLevel="0" collapsed="false">
      <c r="A6" s="18" t="s">
        <v>59</v>
      </c>
      <c r="B6" s="19" t="s">
        <v>139</v>
      </c>
      <c r="C6" s="19" t="s">
        <v>140</v>
      </c>
      <c r="D6" s="19" t="s">
        <v>141</v>
      </c>
    </row>
    <row r="7" customFormat="false" ht="109.5" hidden="false" customHeight="true" outlineLevel="0" collapsed="false">
      <c r="A7" s="18" t="s">
        <v>64</v>
      </c>
      <c r="B7" s="19" t="s">
        <v>142</v>
      </c>
      <c r="C7" s="19" t="s">
        <v>143</v>
      </c>
      <c r="D7" s="19" t="s">
        <v>144</v>
      </c>
    </row>
    <row r="8" customFormat="false" ht="109.5" hidden="false" customHeight="true" outlineLevel="0" collapsed="false">
      <c r="A8" s="18" t="s">
        <v>69</v>
      </c>
      <c r="B8" s="19" t="s">
        <v>145</v>
      </c>
      <c r="C8" s="19" t="s">
        <v>146</v>
      </c>
      <c r="D8" s="19" t="s">
        <v>147</v>
      </c>
    </row>
    <row r="9" customFormat="false" ht="109.5" hidden="false" customHeight="true" outlineLevel="0" collapsed="false">
      <c r="A9" s="18" t="s">
        <v>75</v>
      </c>
      <c r="B9" s="19" t="s">
        <v>148</v>
      </c>
      <c r="C9" s="19" t="s">
        <v>149</v>
      </c>
      <c r="D9" s="19" t="s">
        <v>150</v>
      </c>
    </row>
    <row r="10" customFormat="false" ht="109.5" hidden="false" customHeight="true" outlineLevel="0" collapsed="false">
      <c r="A10" s="18" t="s">
        <v>79</v>
      </c>
      <c r="B10" s="19" t="s">
        <v>151</v>
      </c>
      <c r="C10" s="19" t="s">
        <v>152</v>
      </c>
      <c r="D10" s="19" t="s">
        <v>153</v>
      </c>
    </row>
    <row r="11" customFormat="false" ht="109.5" hidden="false" customHeight="true" outlineLevel="0" collapsed="false">
      <c r="A11" s="18" t="s">
        <v>85</v>
      </c>
      <c r="B11" s="19" t="s">
        <v>154</v>
      </c>
      <c r="C11" s="19" t="s">
        <v>155</v>
      </c>
      <c r="D11" s="19" t="s">
        <v>156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8"/>
    <col collapsed="false" customWidth="true" hidden="false" outlineLevel="0" max="3" min="3" style="0" width="45"/>
    <col collapsed="false" customWidth="true" hidden="false" outlineLevel="0" max="4" min="4" style="0" width="14"/>
    <col collapsed="false" customWidth="true" hidden="false" outlineLevel="0" max="5" min="5" style="0" width="22"/>
  </cols>
  <sheetData>
    <row r="1" customFormat="false" ht="27.75" hidden="false" customHeight="true" outlineLevel="0" collapsed="false">
      <c r="A1" s="1" t="s">
        <v>157</v>
      </c>
      <c r="B1" s="1"/>
      <c r="C1" s="1"/>
      <c r="D1" s="1"/>
      <c r="E1" s="1"/>
    </row>
    <row r="3" customFormat="false" ht="30" hidden="false" customHeight="true" outlineLevel="0" collapsed="false">
      <c r="A3" s="7" t="s">
        <v>158</v>
      </c>
      <c r="B3" s="7" t="s">
        <v>159</v>
      </c>
      <c r="C3" s="7" t="s">
        <v>160</v>
      </c>
      <c r="D3" s="7" t="s">
        <v>161</v>
      </c>
      <c r="E3" s="7" t="s">
        <v>162</v>
      </c>
    </row>
    <row r="4" customFormat="false" ht="54.75" hidden="false" customHeight="true" outlineLevel="0" collapsed="false">
      <c r="A4" s="18" t="s">
        <v>163</v>
      </c>
      <c r="B4" s="19" t="s">
        <v>164</v>
      </c>
      <c r="C4" s="19" t="s">
        <v>165</v>
      </c>
      <c r="D4" s="11" t="s">
        <v>166</v>
      </c>
      <c r="E4" s="19" t="s">
        <v>167</v>
      </c>
    </row>
    <row r="5" customFormat="false" ht="54.75" hidden="false" customHeight="true" outlineLevel="0" collapsed="false">
      <c r="A5" s="18" t="s">
        <v>168</v>
      </c>
      <c r="B5" s="19" t="s">
        <v>169</v>
      </c>
      <c r="C5" s="19" t="s">
        <v>170</v>
      </c>
      <c r="D5" s="11" t="s">
        <v>166</v>
      </c>
      <c r="E5" s="19" t="s">
        <v>167</v>
      </c>
    </row>
    <row r="6" customFormat="false" ht="54.75" hidden="false" customHeight="true" outlineLevel="0" collapsed="false">
      <c r="A6" s="18" t="s">
        <v>171</v>
      </c>
      <c r="B6" s="19" t="s">
        <v>172</v>
      </c>
      <c r="C6" s="19" t="s">
        <v>173</v>
      </c>
      <c r="D6" s="11" t="s">
        <v>166</v>
      </c>
      <c r="E6" s="19" t="s">
        <v>174</v>
      </c>
    </row>
    <row r="7" customFormat="false" ht="54.75" hidden="false" customHeight="true" outlineLevel="0" collapsed="false">
      <c r="A7" s="18" t="s">
        <v>175</v>
      </c>
      <c r="B7" s="19" t="s">
        <v>176</v>
      </c>
      <c r="C7" s="19" t="s">
        <v>177</v>
      </c>
      <c r="D7" s="11" t="s">
        <v>166</v>
      </c>
      <c r="E7" s="19" t="s">
        <v>167</v>
      </c>
    </row>
    <row r="8" customFormat="false" ht="54.75" hidden="false" customHeight="true" outlineLevel="0" collapsed="false">
      <c r="A8" s="18" t="s">
        <v>178</v>
      </c>
      <c r="B8" s="19" t="s">
        <v>179</v>
      </c>
      <c r="C8" s="19" t="s">
        <v>180</v>
      </c>
      <c r="D8" s="11" t="s">
        <v>166</v>
      </c>
      <c r="E8" s="19" t="s">
        <v>181</v>
      </c>
    </row>
    <row r="9" customFormat="false" ht="54.75" hidden="false" customHeight="true" outlineLevel="0" collapsed="false">
      <c r="A9" s="18" t="s">
        <v>182</v>
      </c>
      <c r="B9" s="19" t="s">
        <v>183</v>
      </c>
      <c r="C9" s="19" t="s">
        <v>184</v>
      </c>
      <c r="D9" s="12" t="s">
        <v>62</v>
      </c>
      <c r="E9" s="19" t="s">
        <v>185</v>
      </c>
    </row>
    <row r="10" customFormat="false" ht="54.75" hidden="false" customHeight="true" outlineLevel="0" collapsed="false">
      <c r="A10" s="18" t="s">
        <v>186</v>
      </c>
      <c r="B10" s="19" t="s">
        <v>187</v>
      </c>
      <c r="C10" s="19" t="s">
        <v>188</v>
      </c>
      <c r="D10" s="12" t="s">
        <v>62</v>
      </c>
      <c r="E10" s="19" t="s">
        <v>189</v>
      </c>
    </row>
    <row r="11" customFormat="false" ht="54.75" hidden="false" customHeight="true" outlineLevel="0" collapsed="false">
      <c r="A11" s="18" t="s">
        <v>190</v>
      </c>
      <c r="B11" s="19" t="s">
        <v>191</v>
      </c>
      <c r="C11" s="19" t="s">
        <v>192</v>
      </c>
      <c r="D11" s="12" t="s">
        <v>62</v>
      </c>
      <c r="E11" s="19" t="s">
        <v>189</v>
      </c>
    </row>
    <row r="12" customFormat="false" ht="54.75" hidden="false" customHeight="true" outlineLevel="0" collapsed="false">
      <c r="A12" s="18" t="s">
        <v>193</v>
      </c>
      <c r="B12" s="19" t="s">
        <v>194</v>
      </c>
      <c r="C12" s="19" t="s">
        <v>195</v>
      </c>
      <c r="D12" s="11" t="s">
        <v>166</v>
      </c>
      <c r="E12" s="19" t="s">
        <v>189</v>
      </c>
    </row>
    <row r="13" customFormat="false" ht="54.75" hidden="false" customHeight="true" outlineLevel="0" collapsed="false">
      <c r="A13" s="18" t="s">
        <v>196</v>
      </c>
      <c r="B13" s="19" t="s">
        <v>197</v>
      </c>
      <c r="C13" s="19" t="s">
        <v>198</v>
      </c>
      <c r="D13" s="11" t="s">
        <v>166</v>
      </c>
      <c r="E13" s="19" t="s">
        <v>167</v>
      </c>
    </row>
    <row r="14" customFormat="false" ht="54.75" hidden="false" customHeight="true" outlineLevel="0" collapsed="false">
      <c r="A14" s="18" t="s">
        <v>199</v>
      </c>
      <c r="B14" s="19" t="s">
        <v>200</v>
      </c>
      <c r="C14" s="19" t="s">
        <v>201</v>
      </c>
      <c r="D14" s="12" t="s">
        <v>62</v>
      </c>
      <c r="E14" s="19" t="s">
        <v>189</v>
      </c>
    </row>
    <row r="15" customFormat="false" ht="54.75" hidden="false" customHeight="true" outlineLevel="0" collapsed="false">
      <c r="A15" s="18" t="s">
        <v>202</v>
      </c>
      <c r="B15" s="19" t="s">
        <v>203</v>
      </c>
      <c r="C15" s="19" t="s">
        <v>204</v>
      </c>
      <c r="D15" s="12" t="s">
        <v>62</v>
      </c>
      <c r="E15" s="19" t="s">
        <v>189</v>
      </c>
    </row>
    <row r="16" customFormat="false" ht="54.75" hidden="false" customHeight="true" outlineLevel="0" collapsed="false">
      <c r="A16" s="18" t="s">
        <v>205</v>
      </c>
      <c r="B16" s="19" t="s">
        <v>206</v>
      </c>
      <c r="C16" s="19" t="s">
        <v>207</v>
      </c>
      <c r="D16" s="14" t="s">
        <v>208</v>
      </c>
      <c r="E16" s="19" t="s">
        <v>209</v>
      </c>
    </row>
    <row r="17" customFormat="false" ht="54.75" hidden="false" customHeight="true" outlineLevel="0" collapsed="false">
      <c r="A17" s="18" t="s">
        <v>210</v>
      </c>
      <c r="B17" s="19" t="s">
        <v>211</v>
      </c>
      <c r="C17" s="19" t="s">
        <v>212</v>
      </c>
      <c r="D17" s="14" t="s">
        <v>208</v>
      </c>
      <c r="E17" s="19" t="s">
        <v>213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38"/>
  </cols>
  <sheetData>
    <row r="1" customFormat="false" ht="27.75" hidden="false" customHeight="true" outlineLevel="0" collapsed="false">
      <c r="A1" s="1" t="s">
        <v>214</v>
      </c>
      <c r="B1" s="1"/>
      <c r="C1" s="1"/>
    </row>
    <row r="3" customFormat="false" ht="15" hidden="false" customHeight="false" outlineLevel="0" collapsed="false">
      <c r="A3" s="3" t="s">
        <v>215</v>
      </c>
      <c r="B3" s="3" t="s">
        <v>216</v>
      </c>
      <c r="C3" s="3" t="s">
        <v>217</v>
      </c>
    </row>
    <row r="4" customFormat="false" ht="37.5" hidden="false" customHeight="true" outlineLevel="0" collapsed="false">
      <c r="A4" s="18" t="s">
        <v>218</v>
      </c>
      <c r="B4" s="19" t="s">
        <v>219</v>
      </c>
      <c r="C4" s="19" t="s">
        <v>220</v>
      </c>
    </row>
    <row r="5" customFormat="false" ht="37.5" hidden="false" customHeight="true" outlineLevel="0" collapsed="false">
      <c r="A5" s="18" t="s">
        <v>221</v>
      </c>
      <c r="B5" s="19" t="s">
        <v>222</v>
      </c>
      <c r="C5" s="19" t="s">
        <v>223</v>
      </c>
    </row>
    <row r="6" customFormat="false" ht="37.5" hidden="false" customHeight="true" outlineLevel="0" collapsed="false">
      <c r="A6" s="18" t="s">
        <v>224</v>
      </c>
      <c r="B6" s="19" t="s">
        <v>225</v>
      </c>
      <c r="C6" s="19" t="s">
        <v>226</v>
      </c>
    </row>
    <row r="7" customFormat="false" ht="37.5" hidden="false" customHeight="true" outlineLevel="0" collapsed="false">
      <c r="A7" s="18" t="s">
        <v>227</v>
      </c>
      <c r="B7" s="19" t="s">
        <v>228</v>
      </c>
      <c r="C7" s="19" t="s">
        <v>229</v>
      </c>
    </row>
    <row r="8" customFormat="false" ht="37.5" hidden="false" customHeight="true" outlineLevel="0" collapsed="false">
      <c r="A8" s="18" t="s">
        <v>230</v>
      </c>
      <c r="B8" s="19" t="s">
        <v>231</v>
      </c>
      <c r="C8" s="19" t="s">
        <v>232</v>
      </c>
    </row>
    <row r="9" customFormat="false" ht="37.5" hidden="false" customHeight="true" outlineLevel="0" collapsed="false">
      <c r="A9" s="18" t="s">
        <v>233</v>
      </c>
      <c r="B9" s="19" t="s">
        <v>234</v>
      </c>
      <c r="C9" s="19" t="s">
        <v>235</v>
      </c>
    </row>
    <row r="10" customFormat="false" ht="37.5" hidden="false" customHeight="true" outlineLevel="0" collapsed="false">
      <c r="A10" s="18" t="s">
        <v>236</v>
      </c>
      <c r="B10" s="19" t="s">
        <v>237</v>
      </c>
      <c r="C10" s="19" t="s">
        <v>238</v>
      </c>
    </row>
    <row r="13" customFormat="false" ht="15" hidden="false" customHeight="false" outlineLevel="0" collapsed="false">
      <c r="A13" s="3" t="s">
        <v>239</v>
      </c>
      <c r="B13" s="3" t="s">
        <v>216</v>
      </c>
      <c r="C13" s="3" t="s">
        <v>240</v>
      </c>
    </row>
    <row r="14" customFormat="false" ht="37.5" hidden="false" customHeight="true" outlineLevel="0" collapsed="false">
      <c r="A14" s="18" t="s">
        <v>241</v>
      </c>
      <c r="B14" s="19" t="s">
        <v>242</v>
      </c>
      <c r="C14" s="19" t="s">
        <v>243</v>
      </c>
    </row>
    <row r="15" customFormat="false" ht="37.5" hidden="false" customHeight="true" outlineLevel="0" collapsed="false">
      <c r="A15" s="18" t="s">
        <v>244</v>
      </c>
      <c r="B15" s="19" t="s">
        <v>245</v>
      </c>
      <c r="C15" s="19" t="s">
        <v>246</v>
      </c>
    </row>
    <row r="16" customFormat="false" ht="37.5" hidden="false" customHeight="true" outlineLevel="0" collapsed="false">
      <c r="A16" s="18" t="s">
        <v>247</v>
      </c>
      <c r="B16" s="19" t="s">
        <v>248</v>
      </c>
      <c r="C16" s="19" t="s">
        <v>249</v>
      </c>
    </row>
    <row r="17" customFormat="false" ht="37.5" hidden="false" customHeight="true" outlineLevel="0" collapsed="false">
      <c r="A17" s="18" t="s">
        <v>250</v>
      </c>
      <c r="B17" s="19" t="s">
        <v>251</v>
      </c>
      <c r="C17" s="19" t="s">
        <v>252</v>
      </c>
    </row>
    <row r="18" customFormat="false" ht="37.5" hidden="false" customHeight="true" outlineLevel="0" collapsed="false">
      <c r="A18" s="18" t="s">
        <v>253</v>
      </c>
      <c r="B18" s="19" t="s">
        <v>254</v>
      </c>
      <c r="C18" s="19" t="s">
        <v>255</v>
      </c>
    </row>
    <row r="19" customFormat="false" ht="37.5" hidden="false" customHeight="true" outlineLevel="0" collapsed="false">
      <c r="A19" s="18" t="s">
        <v>256</v>
      </c>
      <c r="B19" s="19" t="s">
        <v>257</v>
      </c>
      <c r="C19" s="19" t="s">
        <v>258</v>
      </c>
    </row>
    <row r="20" customFormat="false" ht="37.5" hidden="false" customHeight="true" outlineLevel="0" collapsed="false">
      <c r="A20" s="18" t="s">
        <v>259</v>
      </c>
      <c r="B20" s="19" t="s">
        <v>260</v>
      </c>
      <c r="C20" s="19" t="s">
        <v>261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4" min="3" style="0" width="50"/>
  </cols>
  <sheetData>
    <row r="1" customFormat="false" ht="27.75" hidden="false" customHeight="true" outlineLevel="0" collapsed="false">
      <c r="A1" s="1" t="s">
        <v>262</v>
      </c>
      <c r="B1" s="1"/>
      <c r="C1" s="1"/>
      <c r="D1" s="1"/>
    </row>
    <row r="3" customFormat="false" ht="30" hidden="false" customHeight="true" outlineLevel="0" collapsed="false">
      <c r="A3" s="7" t="s">
        <v>263</v>
      </c>
      <c r="B3" s="7" t="s">
        <v>264</v>
      </c>
      <c r="C3" s="7" t="s">
        <v>265</v>
      </c>
      <c r="D3" s="7" t="s">
        <v>266</v>
      </c>
    </row>
    <row r="4" customFormat="false" ht="79.5" hidden="false" customHeight="true" outlineLevel="0" collapsed="false">
      <c r="A4" s="18" t="s">
        <v>267</v>
      </c>
      <c r="B4" s="19" t="s">
        <v>268</v>
      </c>
      <c r="C4" s="19" t="s">
        <v>269</v>
      </c>
      <c r="D4" s="19" t="s">
        <v>270</v>
      </c>
    </row>
    <row r="5" customFormat="false" ht="79.5" hidden="false" customHeight="true" outlineLevel="0" collapsed="false">
      <c r="A5" s="18" t="s">
        <v>271</v>
      </c>
      <c r="B5" s="19" t="s">
        <v>272</v>
      </c>
      <c r="C5" s="19" t="s">
        <v>273</v>
      </c>
      <c r="D5" s="19" t="s">
        <v>274</v>
      </c>
    </row>
    <row r="6" customFormat="false" ht="79.5" hidden="false" customHeight="true" outlineLevel="0" collapsed="false">
      <c r="A6" s="18" t="s">
        <v>275</v>
      </c>
      <c r="B6" s="19" t="s">
        <v>276</v>
      </c>
      <c r="C6" s="19" t="s">
        <v>277</v>
      </c>
      <c r="D6" s="19" t="s">
        <v>278</v>
      </c>
    </row>
    <row r="7" customFormat="false" ht="79.5" hidden="false" customHeight="true" outlineLevel="0" collapsed="false">
      <c r="A7" s="18" t="s">
        <v>279</v>
      </c>
      <c r="B7" s="19" t="s">
        <v>280</v>
      </c>
      <c r="C7" s="19" t="s">
        <v>281</v>
      </c>
      <c r="D7" s="19" t="s">
        <v>282</v>
      </c>
    </row>
    <row r="8" customFormat="false" ht="79.5" hidden="false" customHeight="true" outlineLevel="0" collapsed="false">
      <c r="A8" s="18" t="s">
        <v>283</v>
      </c>
      <c r="B8" s="19" t="s">
        <v>284</v>
      </c>
      <c r="C8" s="19" t="s">
        <v>285</v>
      </c>
      <c r="D8" s="19" t="s">
        <v>286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90"/>
  </cols>
  <sheetData>
    <row r="1" customFormat="false" ht="27.75" hidden="false" customHeight="true" outlineLevel="0" collapsed="false">
      <c r="A1" s="1" t="s">
        <v>287</v>
      </c>
      <c r="B1" s="1"/>
    </row>
    <row r="3" customFormat="false" ht="15" hidden="false" customHeight="false" outlineLevel="0" collapsed="false">
      <c r="A3" s="3" t="s">
        <v>288</v>
      </c>
      <c r="B3" s="3" t="s">
        <v>289</v>
      </c>
    </row>
    <row r="4" customFormat="false" ht="15" hidden="false" customHeight="false" outlineLevel="0" collapsed="false">
      <c r="A4" s="5" t="s">
        <v>290</v>
      </c>
      <c r="B4" s="20" t="s">
        <v>291</v>
      </c>
    </row>
    <row r="5" customFormat="false" ht="15" hidden="false" customHeight="false" outlineLevel="0" collapsed="false">
      <c r="A5" s="5" t="s">
        <v>292</v>
      </c>
      <c r="B5" s="20" t="s">
        <v>293</v>
      </c>
    </row>
    <row r="6" customFormat="false" ht="15" hidden="false" customHeight="false" outlineLevel="0" collapsed="false">
      <c r="A6" s="5" t="s">
        <v>294</v>
      </c>
      <c r="B6" s="20" t="s">
        <v>295</v>
      </c>
    </row>
    <row r="7" customFormat="false" ht="15" hidden="false" customHeight="false" outlineLevel="0" collapsed="false">
      <c r="A7" s="5" t="s">
        <v>296</v>
      </c>
      <c r="B7" s="20" t="s">
        <v>297</v>
      </c>
    </row>
    <row r="8" customFormat="false" ht="15" hidden="false" customHeight="false" outlineLevel="0" collapsed="false">
      <c r="A8" s="5" t="s">
        <v>298</v>
      </c>
      <c r="B8" s="20" t="s">
        <v>299</v>
      </c>
    </row>
    <row r="9" customFormat="false" ht="15" hidden="false" customHeight="false" outlineLevel="0" collapsed="false">
      <c r="A9" s="5" t="s">
        <v>300</v>
      </c>
      <c r="B9" s="20" t="s">
        <v>301</v>
      </c>
    </row>
    <row r="10" customFormat="false" ht="15" hidden="false" customHeight="false" outlineLevel="0" collapsed="false">
      <c r="A10" s="5" t="s">
        <v>302</v>
      </c>
      <c r="B10" s="20" t="s">
        <v>303</v>
      </c>
    </row>
    <row r="11" customFormat="false" ht="15" hidden="false" customHeight="false" outlineLevel="0" collapsed="false">
      <c r="A11" s="5" t="s">
        <v>304</v>
      </c>
      <c r="B11" s="20" t="s">
        <v>305</v>
      </c>
    </row>
    <row r="12" customFormat="false" ht="15" hidden="false" customHeight="false" outlineLevel="0" collapsed="false">
      <c r="A12" s="5" t="s">
        <v>306</v>
      </c>
      <c r="B12" s="20" t="s">
        <v>307</v>
      </c>
    </row>
    <row r="13" customFormat="false" ht="15" hidden="false" customHeight="false" outlineLevel="0" collapsed="false">
      <c r="A13" s="5" t="s">
        <v>308</v>
      </c>
      <c r="B13" s="20" t="s">
        <v>309</v>
      </c>
    </row>
    <row r="14" customFormat="false" ht="15" hidden="false" customHeight="false" outlineLevel="0" collapsed="false">
      <c r="A14" s="5" t="s">
        <v>310</v>
      </c>
      <c r="B14" s="20" t="s">
        <v>311</v>
      </c>
    </row>
    <row r="15" customFormat="false" ht="15" hidden="false" customHeight="false" outlineLevel="0" collapsed="false">
      <c r="A15" s="5" t="s">
        <v>312</v>
      </c>
      <c r="B15" s="20" t="s">
        <v>313</v>
      </c>
    </row>
    <row r="16" customFormat="false" ht="15" hidden="false" customHeight="false" outlineLevel="0" collapsed="false">
      <c r="A16" s="5" t="s">
        <v>314</v>
      </c>
      <c r="B16" s="20" t="s">
        <v>315</v>
      </c>
    </row>
    <row r="17" customFormat="false" ht="15" hidden="false" customHeight="false" outlineLevel="0" collapsed="false">
      <c r="A17" s="5" t="s">
        <v>98</v>
      </c>
      <c r="B17" s="20" t="s">
        <v>316</v>
      </c>
    </row>
    <row r="18" customFormat="false" ht="15" hidden="false" customHeight="false" outlineLevel="0" collapsed="false">
      <c r="A18" s="5" t="s">
        <v>317</v>
      </c>
      <c r="B18" s="20" t="s">
        <v>318</v>
      </c>
    </row>
    <row r="19" customFormat="false" ht="15" hidden="false" customHeight="false" outlineLevel="0" collapsed="false">
      <c r="A19" s="5" t="s">
        <v>59</v>
      </c>
      <c r="B19" s="20" t="s">
        <v>319</v>
      </c>
    </row>
    <row r="20" customFormat="false" ht="15" hidden="false" customHeight="false" outlineLevel="0" collapsed="false">
      <c r="A20" s="5" t="s">
        <v>320</v>
      </c>
      <c r="B20" s="20" t="s">
        <v>321</v>
      </c>
    </row>
    <row r="21" customFormat="false" ht="15" hidden="false" customHeight="false" outlineLevel="0" collapsed="false">
      <c r="A21" s="5" t="s">
        <v>322</v>
      </c>
      <c r="B21" s="20" t="s">
        <v>323</v>
      </c>
    </row>
    <row r="22" customFormat="false" ht="15" hidden="false" customHeight="false" outlineLevel="0" collapsed="false">
      <c r="A22" s="5" t="s">
        <v>324</v>
      </c>
      <c r="B22" s="20" t="s">
        <v>325</v>
      </c>
    </row>
    <row r="23" customFormat="false" ht="15" hidden="false" customHeight="false" outlineLevel="0" collapsed="false">
      <c r="A23" s="5" t="s">
        <v>326</v>
      </c>
      <c r="B23" s="20" t="s">
        <v>327</v>
      </c>
    </row>
    <row r="24" customFormat="false" ht="15" hidden="false" customHeight="false" outlineLevel="0" collapsed="false">
      <c r="A24" s="5" t="s">
        <v>328</v>
      </c>
      <c r="B24" s="20" t="s">
        <v>329</v>
      </c>
    </row>
    <row r="25" customFormat="false" ht="15" hidden="false" customHeight="false" outlineLevel="0" collapsed="false">
      <c r="A25" s="5" t="s">
        <v>330</v>
      </c>
      <c r="B25" s="20" t="s">
        <v>331</v>
      </c>
    </row>
    <row r="26" customFormat="false" ht="15" hidden="false" customHeight="false" outlineLevel="0" collapsed="false">
      <c r="A26" s="5" t="s">
        <v>332</v>
      </c>
      <c r="B26" s="20" t="s">
        <v>333</v>
      </c>
    </row>
    <row r="27" customFormat="false" ht="15" hidden="false" customHeight="false" outlineLevel="0" collapsed="false">
      <c r="A27" s="5" t="s">
        <v>334</v>
      </c>
      <c r="B27" s="20" t="s">
        <v>335</v>
      </c>
    </row>
    <row r="28" customFormat="false" ht="15" hidden="false" customHeight="false" outlineLevel="0" collapsed="false">
      <c r="A28" s="5" t="s">
        <v>336</v>
      </c>
      <c r="B28" s="20" t="s">
        <v>337</v>
      </c>
    </row>
    <row r="29" customFormat="false" ht="15" hidden="false" customHeight="false" outlineLevel="0" collapsed="false">
      <c r="A29" s="5" t="s">
        <v>338</v>
      </c>
      <c r="B29" s="20" t="s">
        <v>339</v>
      </c>
    </row>
    <row r="30" customFormat="false" ht="15" hidden="false" customHeight="false" outlineLevel="0" collapsed="false">
      <c r="A30" s="5" t="s">
        <v>340</v>
      </c>
      <c r="B30" s="20" t="s">
        <v>341</v>
      </c>
    </row>
    <row r="31" customFormat="false" ht="15" hidden="false" customHeight="false" outlineLevel="0" collapsed="false">
      <c r="A31" s="5" t="s">
        <v>342</v>
      </c>
      <c r="B31" s="20" t="s">
        <v>343</v>
      </c>
    </row>
  </sheetData>
  <mergeCells count="1">
    <mergeCell ref="A1:B1"/>
  </mergeCells>
  <hyperlinks>
    <hyperlink ref="B4" r:id="rId1" display="https://www.xataka.com.mx/musica/ticketmaster-sube-comision-sus-boletos-mexico-ahora-seran-caros-espectaculos"/>
    <hyperlink ref="B5" r:id="rId2" display="https://proyectopuente.com.mx/2025/09/18/ticketmaster-mexico-aumenta-cargos-por-servicio-comisiones-representan-casi-una-cuarta-parte-del-valor-del-boleto/"/>
    <hyperlink ref="B6" r:id="rId3" display="https://www.infobae.com/mexico/2025/09/18/ticketmaster-explica-aumento-en-sus-cargos-y-usuarios-piden-intervencion-de-profeco-la-institucion-no-puede-hacer-nada/"/>
    <hyperlink ref="B7" r:id="rId4" display="https://www.superboletos.com/"/>
    <hyperlink ref="B8" r:id="rId5" display="https://web2.superboletos.com/SuperBoletos/promotores"/>
    <hyperlink ref="B9" r:id="rId6" display="https://funticket.mx/"/>
    <hyperlink ref="B10" r:id="rId7" display="https://funticket.mx/terminos-y-condiciones/"/>
    <hyperlink ref="B11" r:id="rId8" display="https://organizadores.boletia.com"/>
    <hyperlink ref="B12" r:id="rId9" display="https://knowledge.boletia.com/knowledge/cual-es-el-cargo-por-servicio-que-boletia-cobra"/>
    <hyperlink ref="B13" r:id="rId10" display="https://elceo.com/negocios/con-mas-de-12-millones-de-boletos-vendidos-boletia-revoluciona-el-acceso-a-eventos/"/>
    <hyperlink ref="B14" r:id="rId11" display="https://www.eventbrite.com.mx/help/es-mx/articles/755615/cuanto-les-cuesta-a-los-organizadores-usar-eventbrite/"/>
    <hyperlink ref="B15" r:id="rId12" display="https://www.eventbrite.com/organizer/pricing/"/>
    <hyperlink ref="B16" r:id="rId13" display="https://home.passline.com/"/>
    <hyperlink ref="B17" r:id="rId14" display="https://boletopolis.com/en/que-hacemos"/>
    <hyperlink ref="B18" r:id="rId15" display="https://www.ticketopolis.com/"/>
    <hyperlink ref="B19" r:id="rId16" display="https://www.eticket.mx/"/>
    <hyperlink ref="B20" r:id="rId17" display="https://www.diarioelindependiente.mx/2026/05/mexico-es-el-tercer-mercado-de-entretenimiento-musical-en-vivo-que-mas-facturo-en-el-mundo"/>
    <hyperlink ref="B21" r:id="rId18" display="https://mundoejecutivocdmx.com/mundo-economico/la-industria-del-entretenimiento-en-vivo-dejo-mas-de-68-mmdp-durante-2025-en-mexico/"/>
    <hyperlink ref="B22" r:id="rId19" display="https://www.elfinanciero.com.mx/opinion/jeanette-leyva/2026/04/22/el-auge-de-conciertos-en-mexico-y-su-derrama-economica/"/>
    <hyperlink ref="B23" r:id="rId20" display="https://piedepagina.mx/boletos-falsos-y-clonados-el-fraude-de-ticketmaster/"/>
    <hyperlink ref="B24" r:id="rId21" display="https://www.gob.mx/profeco/prensa/ante-una-cancelacion-o-reprogramacion-de-un-evento-profeco-respalda-a-las-y-los-consumidores"/>
    <hyperlink ref="B25" r:id="rId22" display="https://expansion.mx/empresas/2025/09/24/compensacion-si-cancelan-concierto-de-ultimo-momento-profeco"/>
    <hyperlink ref="B26" r:id="rId23" display="https://www.elfinanciero.com.mx/nacional/morena-en-el-senado-busca-frenar-el-abusivo-sobrecosto-en-venta-de-boletos-de-espectaculos-por-internet/"/>
    <hyperlink ref="B27" r:id="rId24" display="https://expansion.mx/empresas/2023/06/13/tope-cargos-por-servicio-ticketmaster-y-superboletos"/>
    <hyperlink ref="B28" r:id="rId25" display="https://www.eldiario24.com/tecnologia/2025/05/06/tecnologia-eventos-nft"/>
    <hyperlink ref="B29" r:id="rId26" display="https://www.infobae.com/mexico/2026/03/04/ticketmaster-lanza-sistema-antifraude-con-codigo-dinamico-para-entradas-asi-funciona/"/>
    <hyperlink ref="B30" r:id="rId27" display="https://www.ticketsauce.com/"/>
    <hyperlink ref="B31" r:id="rId28" display="https://servicios.ticketplus.com/nosotros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2026-05-19T01:13:11Z</dcterms:created>
  <dc:creator>openpyxl</dc:creator>
  <dc:description/>
  <dc:language>en-US</dc:language>
  <cp:lastModifiedBy/>
  <dcterms:modified xsi:type="dcterms:W3CDTF">2026-05-19T01:13:11Z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